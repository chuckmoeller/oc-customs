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1d1c21ba85f9a94/FINNEYUP COACHING/"/>
    </mc:Choice>
  </mc:AlternateContent>
  <xr:revisionPtr revIDLastSave="0" documentId="8_{1B8DC317-4A1A-41F1-AD1D-93C7DBCC2357}" xr6:coauthVersionLast="47" xr6:coauthVersionMax="47" xr10:uidLastSave="{00000000-0000-0000-0000-000000000000}"/>
  <bookViews>
    <workbookView xWindow="28680" yWindow="-120" windowWidth="29040" windowHeight="15720" xr2:uid="{BB0697BC-38C4-4319-BAC9-AE5E6C6250DF}"/>
  </bookViews>
  <sheets>
    <sheet name="Input Form" sheetId="1" r:id="rId1"/>
    <sheet name="Panel Detail" sheetId="2" r:id="rId2"/>
    <sheet name="Utility Lists" sheetId="3" r:id="rId3"/>
  </sheets>
  <externalReferences>
    <externalReference r:id="rId4"/>
    <externalReference r:id="rId5"/>
    <externalReference r:id="rId6"/>
  </externalReferences>
  <definedNames>
    <definedName name="MEG_AnnualkWh">'Input Form'!$K$45</definedName>
    <definedName name="MEG_BlendedRate">'Input Form'!$L$27</definedName>
    <definedName name="MEG_CO2_LBS_PER_KWH">'[1]Sources &amp; Methodology'!$D$273</definedName>
    <definedName name="UtilByState" localSheetId="1">_xlfn.ANCHORARRAY('[2]Energy Efficiency Programs'!$P$3)</definedName>
    <definedName name="UtilByState">OFFSET('Utility Lists'!$A$2,0,MATCH('Input Form'!$C$13,'Utility Lists'!$1:$1,0)-1,COUNTA(OFFSET('Utility Lists'!$A$2,0,MATCH('Input Form'!$C$13,'Utility Lists'!$1:$1,0)-1,20,1)),1)</definedName>
    <definedName name="UtilList">OFFSET([3]Utilities!$A$1,1,MATCH([3]Submission!$C$10,[3]Utilities!$1:$1,0)-1,COUNTA(OFFSET([3]Utilities!$A$1,1,MATCH([3]Submission!$C$10,[3]Utilities!$1:$1,0)-1,1000,1)),1)</definedName>
    <definedName name="UtilProviders">OFFSET([3]Utilities!$A$2,0,MATCH([3]Submission!$C$10,[3]Utilities!$A$1:$AZ$1,0)-1,COUNTA(OFFSET([3]Utilities!$A$2:$A$8,0,MATCH([3]Submission!$C$10,[3]Utilities!$A$1:$AZ$1,0)-1)),1)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12" i="1" l="1"/>
  <c r="H213" i="1"/>
  <c r="H214" i="1"/>
  <c r="H215" i="1"/>
  <c r="H204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01" i="1"/>
  <c r="J100" i="1"/>
  <c r="K34" i="1"/>
  <c r="H200" i="1" s="1"/>
  <c r="L34" i="1"/>
  <c r="K35" i="1"/>
  <c r="H201" i="1" s="1"/>
  <c r="H205" i="1" s="1"/>
  <c r="L35" i="1"/>
  <c r="K36" i="1"/>
  <c r="H202" i="1" s="1"/>
  <c r="L36" i="1"/>
  <c r="K37" i="1"/>
  <c r="H203" i="1" s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L33" i="1"/>
  <c r="K33" i="1"/>
  <c r="H94" i="1"/>
  <c r="F94" i="1"/>
  <c r="C94" i="1"/>
  <c r="E34" i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C242" i="1"/>
  <c r="C241" i="1"/>
  <c r="C240" i="1"/>
  <c r="C238" i="1"/>
  <c r="C237" i="1"/>
  <c r="F216" i="1"/>
  <c r="E216" i="1"/>
  <c r="D216" i="1"/>
  <c r="J215" i="1"/>
  <c r="J214" i="1"/>
  <c r="J213" i="1"/>
  <c r="J212" i="1"/>
  <c r="J211" i="1"/>
  <c r="E205" i="1"/>
  <c r="D205" i="1"/>
  <c r="L194" i="1"/>
  <c r="K194" i="1"/>
  <c r="I194" i="1"/>
  <c r="H194" i="1"/>
  <c r="G194" i="1"/>
  <c r="D194" i="1"/>
  <c r="C194" i="1"/>
  <c r="L186" i="1"/>
  <c r="K186" i="1"/>
  <c r="I186" i="1"/>
  <c r="H186" i="1"/>
  <c r="G186" i="1"/>
  <c r="D186" i="1"/>
  <c r="C186" i="1"/>
  <c r="L178" i="1"/>
  <c r="K178" i="1"/>
  <c r="I178" i="1"/>
  <c r="H178" i="1"/>
  <c r="G178" i="1"/>
  <c r="D178" i="1"/>
  <c r="C178" i="1"/>
  <c r="L165" i="1"/>
  <c r="K165" i="1"/>
  <c r="H165" i="1"/>
  <c r="G165" i="1"/>
  <c r="D165" i="1"/>
  <c r="C165" i="1"/>
  <c r="L149" i="1"/>
  <c r="K149" i="1"/>
  <c r="J149" i="1"/>
  <c r="I149" i="1"/>
  <c r="H149" i="1"/>
  <c r="G149" i="1"/>
  <c r="F149" i="1"/>
  <c r="C149" i="1"/>
  <c r="L138" i="1"/>
  <c r="K138" i="1"/>
  <c r="J138" i="1"/>
  <c r="I138" i="1"/>
  <c r="H138" i="1"/>
  <c r="G138" i="1"/>
  <c r="F138" i="1"/>
  <c r="C138" i="1"/>
  <c r="L127" i="1"/>
  <c r="K127" i="1"/>
  <c r="J127" i="1"/>
  <c r="I127" i="1"/>
  <c r="H127" i="1"/>
  <c r="G127" i="1"/>
  <c r="F127" i="1"/>
  <c r="C127" i="1"/>
  <c r="L115" i="1"/>
  <c r="K115" i="1"/>
  <c r="I115" i="1"/>
  <c r="H115" i="1"/>
  <c r="G115" i="1"/>
  <c r="F115" i="1"/>
  <c r="C115" i="1"/>
  <c r="L94" i="1"/>
  <c r="K94" i="1"/>
  <c r="I94" i="1"/>
  <c r="G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L73" i="1"/>
  <c r="K73" i="1"/>
  <c r="I73" i="1"/>
  <c r="H73" i="1"/>
  <c r="G73" i="1"/>
  <c r="F73" i="1"/>
  <c r="C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45" i="1"/>
  <c r="I45" i="1"/>
  <c r="H45" i="1"/>
  <c r="G45" i="1"/>
  <c r="F45" i="1"/>
  <c r="C45" i="1"/>
  <c r="B21" i="1"/>
  <c r="H11" i="1"/>
  <c r="J115" i="1" l="1"/>
  <c r="L45" i="1"/>
  <c r="C236" i="1"/>
  <c r="K45" i="1"/>
  <c r="C243" i="1"/>
  <c r="J73" i="1"/>
  <c r="C239" i="1"/>
  <c r="J216" i="1"/>
  <c r="J94" i="1"/>
  <c r="H211" i="1" l="1"/>
  <c r="H216" i="1" s="1"/>
  <c r="L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Geist</author>
  </authors>
  <commentList>
    <comment ref="I57" authorId="0" shapeId="0" xr:uid="{E280C94C-FE06-4CC2-87C0-AB3772AC2D53}">
      <text>
        <r>
          <rPr>
            <b/>
            <sz val="9"/>
            <color indexed="81"/>
            <rFont val="Tahoma"/>
            <family val="2"/>
          </rPr>
          <t>Minimum Circuit Ampacity</t>
        </r>
      </text>
    </comment>
    <comment ref="I78" authorId="0" shapeId="0" xr:uid="{8146B1C2-7A7F-41F1-8074-BB0D4AAE4803}">
      <text>
        <r>
          <rPr>
            <b/>
            <sz val="9"/>
            <color indexed="81"/>
            <rFont val="Tahoma"/>
            <family val="2"/>
          </rPr>
          <t>Minimum Circuit Ampacity</t>
        </r>
      </text>
    </comment>
    <comment ref="I99" authorId="0" shapeId="0" xr:uid="{2500A913-FC53-4DBA-AEFA-80A5535B9741}">
      <text>
        <r>
          <rPr>
            <b/>
            <sz val="9"/>
            <color indexed="81"/>
            <rFont val="Tahoma"/>
            <family val="2"/>
          </rPr>
          <t>Minimum Circuit Ampacity</t>
        </r>
      </text>
    </comment>
    <comment ref="I121" authorId="0" shapeId="0" xr:uid="{A8AF498D-B683-4E5E-A661-F43031B5835B}">
      <text>
        <r>
          <rPr>
            <b/>
            <sz val="9"/>
            <color indexed="81"/>
            <rFont val="Tahoma"/>
            <family val="2"/>
          </rPr>
          <t>Minimum Circuit Ampacity</t>
        </r>
      </text>
    </comment>
    <comment ref="I132" authorId="0" shapeId="0" xr:uid="{77FD7FD9-2D78-4788-BD79-8B49E10BED93}">
      <text>
        <r>
          <rPr>
            <b/>
            <sz val="9"/>
            <color indexed="81"/>
            <rFont val="Tahoma"/>
            <family val="2"/>
          </rPr>
          <t>Minimum Circuit Ampacity</t>
        </r>
      </text>
    </comment>
    <comment ref="I143" authorId="0" shapeId="0" xr:uid="{BCAC7547-CB89-4D4C-A7EC-C9CDB4E8993E}">
      <text>
        <r>
          <rPr>
            <b/>
            <sz val="9"/>
            <color indexed="81"/>
            <rFont val="Tahoma"/>
            <family val="2"/>
          </rPr>
          <t>Minimum Circuit Ampacity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Geist</author>
  </authors>
  <commentList>
    <comment ref="A1" authorId="0" shapeId="0" xr:uid="{2DD984BA-8ED5-4327-BB6B-C436C7CBC698}">
      <text>
        <r>
          <rPr>
            <b/>
            <sz val="9"/>
            <color indexed="81"/>
            <rFont val="Tahoma"/>
            <family val="2"/>
          </rPr>
          <t>William Geist:</t>
        </r>
        <r>
          <rPr>
            <sz val="9"/>
            <color indexed="81"/>
            <rFont val="Tahoma"/>
            <family val="2"/>
          </rPr>
          <t xml:space="preserve">
Utility lists by state compiled by Claude from general knowledge (major electric utilities per state), 2026-09-03. Replaces broken external link to '.Madison Advanced Blueprint Master1.xlsx'. Verify against your master list; add rows under any state to extend its dropdown (up to row 20).</t>
        </r>
      </text>
    </comment>
  </commentList>
</comments>
</file>

<file path=xl/sharedStrings.xml><?xml version="1.0" encoding="utf-8"?>
<sst xmlns="http://schemas.openxmlformats.org/spreadsheetml/2006/main" count="792" uniqueCount="419">
  <si>
    <t xml:space="preserve">   📋  PROJECT SUBMISSION FORM</t>
  </si>
  <si>
    <t>PROJECT INFORMATION</t>
  </si>
  <si>
    <t xml:space="preserve">Project Name: </t>
  </si>
  <si>
    <t xml:space="preserve">Street Address: </t>
  </si>
  <si>
    <t xml:space="preserve">Date: </t>
  </si>
  <si>
    <t xml:space="preserve">City : </t>
  </si>
  <si>
    <t xml:space="preserve">State: </t>
  </si>
  <si>
    <t xml:space="preserve">Advisor Name: </t>
  </si>
  <si>
    <t xml:space="preserve">Building Type: </t>
  </si>
  <si>
    <t xml:space="preserve">Advisor Email: </t>
  </si>
  <si>
    <t xml:space="preserve">Entity Type: </t>
  </si>
  <si>
    <t xml:space="preserve">Advisor Phone: </t>
  </si>
  <si>
    <t xml:space="preserve">Utility Provider: </t>
  </si>
  <si>
    <t xml:space="preserve">Building Square Footage (Total): </t>
  </si>
  <si>
    <t xml:space="preserve">T2 Advisor Name: </t>
  </si>
  <si>
    <t xml:space="preserve">Impact Partner: </t>
  </si>
  <si>
    <t xml:space="preserve">Impact Partner Email: </t>
  </si>
  <si>
    <t xml:space="preserve">Impact Partner Phone: </t>
  </si>
  <si>
    <t>CONTACT INFORMATION</t>
  </si>
  <si>
    <t xml:space="preserve">Contact Name: </t>
  </si>
  <si>
    <t xml:space="preserve">Email: </t>
  </si>
  <si>
    <t xml:space="preserve"> </t>
  </si>
  <si>
    <t xml:space="preserve">Phone: </t>
  </si>
  <si>
    <t xml:space="preserve">Blended kWh Rate: </t>
  </si>
  <si>
    <t>Power Distribution</t>
  </si>
  <si>
    <t>MONTHLY ENERGY DATA</t>
  </si>
  <si>
    <t>Panel Name</t>
  </si>
  <si>
    <t>Month</t>
  </si>
  <si>
    <t>Electric Service</t>
  </si>
  <si>
    <t>Demand</t>
  </si>
  <si>
    <t>Electric Expense</t>
  </si>
  <si>
    <t>Demand Expense</t>
  </si>
  <si>
    <t>Taxes</t>
  </si>
  <si>
    <t>Total kWh Usage</t>
  </si>
  <si>
    <t>Total Expense ($)</t>
  </si>
  <si>
    <t># of Panels</t>
  </si>
  <si>
    <t xml:space="preserve">ANNUAL TOTAL  </t>
  </si>
  <si>
    <t>Notes</t>
  </si>
  <si>
    <t xml:space="preserve">   HVAC EQUIPMENT - RTU-460V</t>
  </si>
  <si>
    <t>RTU-460V</t>
  </si>
  <si>
    <t>Qty</t>
  </si>
  <si>
    <t>Model Number</t>
  </si>
  <si>
    <t>Serial Number</t>
  </si>
  <si>
    <t>Tonnage</t>
  </si>
  <si>
    <t>Volts</t>
  </si>
  <si>
    <t>Fan Phase</t>
  </si>
  <si>
    <t>MCA</t>
  </si>
  <si>
    <t>Indoor Fan RLA</t>
  </si>
  <si>
    <t>Comp. RLA</t>
  </si>
  <si>
    <t>Age</t>
  </si>
  <si>
    <t xml:space="preserve">   HVAC EQUIPMENT - RTU-230V</t>
  </si>
  <si>
    <t>RTU-230V</t>
  </si>
  <si>
    <t xml:space="preserve">   HVAC EQUIPMENT - Split System</t>
  </si>
  <si>
    <t>Split System</t>
  </si>
  <si>
    <t xml:space="preserve">   HVAC EQUIPMENT - Chiller</t>
  </si>
  <si>
    <t>Chiller</t>
  </si>
  <si>
    <t># of Compressors</t>
  </si>
  <si>
    <t xml:space="preserve">   HVAC EQUIPMENT - PTAC</t>
  </si>
  <si>
    <t>PTAC</t>
  </si>
  <si>
    <t>Fan RLA</t>
  </si>
  <si>
    <t xml:space="preserve">   HVAC EQUIPMENT - VTAC</t>
  </si>
  <si>
    <t>VTAC</t>
  </si>
  <si>
    <t xml:space="preserve">   COLD STORAGE EQUIPMENT</t>
  </si>
  <si>
    <t>Walk-in Cooler</t>
  </si>
  <si>
    <t># Evaporators</t>
  </si>
  <si>
    <t># Fans</t>
  </si>
  <si>
    <t>Horsepower</t>
  </si>
  <si>
    <t>Motor Type</t>
  </si>
  <si>
    <t>Fan Amps</t>
  </si>
  <si>
    <t>Walk-in Freezer</t>
  </si>
  <si>
    <t>F&amp;B Cooler</t>
  </si>
  <si>
    <t>F&amp;B Freezer</t>
  </si>
  <si>
    <t xml:space="preserve">   ROOF COATING</t>
  </si>
  <si>
    <t>Building</t>
  </si>
  <si>
    <t>Section</t>
  </si>
  <si>
    <t>Roof Area (squares)</t>
  </si>
  <si>
    <t># of Floors</t>
  </si>
  <si>
    <t>Existing Roof Type</t>
  </si>
  <si>
    <t>Calculation Method</t>
  </si>
  <si>
    <t>Annual Building kWh</t>
  </si>
  <si>
    <t>Roof Insulation Level</t>
  </si>
  <si>
    <t>Main</t>
  </si>
  <si>
    <t>Known kWh (utility data)</t>
  </si>
  <si>
    <t xml:space="preserve">   WINDOW FILMS</t>
  </si>
  <si>
    <t>Quantity</t>
  </si>
  <si>
    <t>Width (in)</t>
  </si>
  <si>
    <t>Height (in)</t>
  </si>
  <si>
    <t>Existing Glass Type</t>
  </si>
  <si>
    <t>Glass Area (sq ft)</t>
  </si>
  <si>
    <t>AQUA FLOW</t>
  </si>
  <si>
    <t xml:space="preserve">Field:  </t>
  </si>
  <si>
    <t>METER 1</t>
  </si>
  <si>
    <t>METER 2</t>
  </si>
  <si>
    <t>METER 3</t>
  </si>
  <si>
    <t>Guidance</t>
  </si>
  <si>
    <t xml:space="preserve">Meter label:  </t>
  </si>
  <si>
    <t>From the survey Meter Details sections. Fire lines excluded — the valve cannot be installed on any fire line.</t>
  </si>
  <si>
    <t xml:space="preserve">Meter size (inches):  </t>
  </si>
  <si>
    <t>Survey: Meter Size (½–8 in standard). Drives valve model/pricing only.</t>
  </si>
  <si>
    <t xml:space="preserve">Annual metered water (gallons/yr):  </t>
  </si>
  <si>
    <t>From 12 months of water bills (survey collects bills/billing access). The savings base.</t>
  </si>
  <si>
    <t xml:space="preserve">Water rate ($/1,000 gal)  [shared]:  </t>
  </si>
  <si>
    <t>Blended from bills: water charges ÷ kgal.</t>
  </si>
  <si>
    <t xml:space="preserve">Sewer rate ($/1,000 gal)  [shared]:  </t>
  </si>
  <si>
    <t>Sewer is usually billed on metered water at a HIGHER rate — the financial multiplier.</t>
  </si>
  <si>
    <t xml:space="preserve">Sewer billed on this meter? (Y/N):  </t>
  </si>
  <si>
    <t>N for irrigation/deduct meters — those save water charges only.</t>
  </si>
  <si>
    <t xml:space="preserve">PSI at meter  (survey REQUIRED field):  </t>
  </si>
  <si>
    <t>Gauge at the meter before backflow. The model’s most leveraged input; qualifying screen is PSI ≥ 70.</t>
  </si>
  <si>
    <t xml:space="preserve">Regulated setpoint override (psi, blank = auto):  </t>
  </si>
  <si>
    <t>Leave blank for the default (meter PSI − 4, floor 65/50 code minimums); enter the calibrated setpoint when specified.</t>
  </si>
  <si>
    <t xml:space="preserve">Facility type:  </t>
  </si>
  <si>
    <t>Survey: Property/Business Type. Sets the pressure-dependent fixture share.</t>
  </si>
  <si>
    <t xml:space="preserve">Leak/pressure complaints? (Y/N):  </t>
  </si>
  <si>
    <t>Survey field. Raises the modeled leakage share when Y.</t>
  </si>
  <si>
    <t xml:space="preserve">Valve + installation cost ($):  </t>
  </si>
  <si>
    <t>Quoted per meter size; wire to the Retail Order Form when the AquaFlow line is added.</t>
  </si>
  <si>
    <t xml:space="preserve">   SURVEY QA — SITE DATA vs DEFAULTS  (the science-first models reward real inputs; ⚠ = a default is carrying the claim)</t>
  </si>
  <si>
    <t>Utility data — 12 months entered</t>
  </si>
  <si>
    <t>Operating hours entered</t>
  </si>
  <si>
    <t>HVAC equipment ages entered</t>
  </si>
  <si>
    <t>Walk-in ages entered</t>
  </si>
  <si>
    <t>Building square footage</t>
  </si>
  <si>
    <t>AquaFlow: PSI at meter</t>
  </si>
  <si>
    <t>AquaFlow: annual water entered</t>
  </si>
  <si>
    <t>Demand rate derivable</t>
  </si>
  <si>
    <t>Store RH (ASHDC) and case temps are entered on their product tabs; equipment nameplate gaps surface on Project Spec.</t>
  </si>
  <si>
    <r>
      <rPr>
        <b/>
        <sz val="11"/>
        <color theme="1"/>
        <rFont val="Calibri"/>
        <family val="2"/>
      </rPr>
      <t xml:space="preserve">Instructions: </t>
    </r>
    <r>
      <rPr>
        <sz val="11"/>
        <color theme="1"/>
        <rFont val="Calibri"/>
        <family val="2"/>
        <charset val="1"/>
      </rPr>
      <t xml:space="preserve"> Insert panel name in the red box per existing label on panel.  If no label exists, create a name such as Panel - 1 or Panel - Office.  </t>
    </r>
  </si>
  <si>
    <t xml:space="preserve">Label each piece of equipment in the space provided.  Check the boxes that correlate to each piece of equipment (Should be 2 or 3). </t>
  </si>
  <si>
    <t>Equipment</t>
  </si>
  <si>
    <t>Panel 1</t>
  </si>
  <si>
    <t>Panel 2</t>
  </si>
  <si>
    <t>Panel 3</t>
  </si>
  <si>
    <t>Panel 4</t>
  </si>
  <si>
    <t>Label</t>
  </si>
  <si>
    <t>[insert panel name]</t>
  </si>
  <si>
    <t>RTU1</t>
  </si>
  <si>
    <t>Panel 5</t>
  </si>
  <si>
    <t>Panel 6</t>
  </si>
  <si>
    <t>Panel 7</t>
  </si>
  <si>
    <t>Panel 8</t>
  </si>
  <si>
    <t>Panel 9</t>
  </si>
  <si>
    <t>Panel 10</t>
  </si>
  <si>
    <t>Panel 11</t>
  </si>
  <si>
    <t>Panel 12</t>
  </si>
  <si>
    <t>Panel 13</t>
  </si>
  <si>
    <t>Panel 14</t>
  </si>
  <si>
    <t>Panel 15</t>
  </si>
  <si>
    <t>Panel 16</t>
  </si>
  <si>
    <t>:</t>
  </si>
  <si>
    <t xml:space="preserve">Operating Hours: </t>
  </si>
  <si>
    <t xml:space="preserve">per Day: </t>
  </si>
  <si>
    <t xml:space="preserve"> Use Dropdown</t>
  </si>
  <si>
    <t xml:space="preserve"> Instructions:</t>
  </si>
  <si>
    <t>Enter info/data into red boxes ONLY.</t>
  </si>
  <si>
    <t># of Feet From Origin</t>
  </si>
  <si>
    <t>Distribution Panel Detail</t>
  </si>
  <si>
    <t>California</t>
  </si>
  <si>
    <t xml:space="preserve">January  </t>
  </si>
  <si>
    <t>Alabama</t>
  </si>
  <si>
    <t>Alaska</t>
  </si>
  <si>
    <t>Arizona</t>
  </si>
  <si>
    <t>Arkansas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</si>
  <si>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</si>
  <si>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</si>
  <si>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</si>
  <si>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</si>
  <si>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</si>
  <si>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</si>
  <si>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</si>
  <si>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</si>
  <si>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</si>
  <si>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</si>
  <si>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</si>
  <si>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</si>
  <si>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</si>
  <si>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</si>
  <si>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</si>
  <si>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</si>
  <si>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</si>
  <si>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</si>
  <si>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</si>
  <si>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</si>
  <si>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</si>
  <si>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</si>
  <si>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</si>
  <si>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</si>
  <si>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</si>
  <si>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</si>
  <si>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</si>
  <si>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</si>
  <si>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</si>
  <si>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</si>
  <si>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</si>
  <si>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</si>
  <si>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</si>
  <si>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</si>
  <si>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</si>
  <si>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</si>
  <si>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</si>
  <si>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</si>
  <si>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</si>
  <si>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</si>
  <si>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</si>
  <si>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</si>
  <si>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</si>
  <si>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</si>
  <si>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</si>
  <si>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</si>
  <si>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</si>
  <si>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Alabama Power</t>
  </si>
  <si>
    <t>Chugach Electric Association</t>
  </si>
  <si>
    <t>Arizona Public Service (APS)</t>
  </si>
  <si>
    <t>Entergy Arkansas</t>
  </si>
  <si>
    <t>Pacific Gas &amp; Electric (PG&amp;E)</t>
  </si>
  <si>
    <t>Xcel Energy</t>
  </si>
  <si>
    <t>Eversource Energy</t>
  </si>
  <si>
    <t>Delmarva Power</t>
  </si>
  <si>
    <t>Pepco</t>
  </si>
  <si>
    <t>Florida Power &amp; Light (FPL)</t>
  </si>
  <si>
    <t>Georgia Power</t>
  </si>
  <si>
    <t>Hawaiian Electric (HECO)</t>
  </si>
  <si>
    <t>Idaho Power</t>
  </si>
  <si>
    <t>ComEd</t>
  </si>
  <si>
    <t>Duke Energy Indiana</t>
  </si>
  <si>
    <t>MidAmerican Energy</t>
  </si>
  <si>
    <t>Evergy</t>
  </si>
  <si>
    <t>Louisville Gas &amp; Electric (LG&amp;E)</t>
  </si>
  <si>
    <t>Entergy Louisiana</t>
  </si>
  <si>
    <t>Central Maine Power</t>
  </si>
  <si>
    <t>Baltimore Gas &amp; Electric (BGE)</t>
  </si>
  <si>
    <t>DTE Energy</t>
  </si>
  <si>
    <t>Entergy Mississippi</t>
  </si>
  <si>
    <t>Ameren Missouri</t>
  </si>
  <si>
    <t>NorthWestern Energy</t>
  </si>
  <si>
    <t>Omaha Public Power District (OPPD)</t>
  </si>
  <si>
    <t>NV Energy</t>
  </si>
  <si>
    <t>PSE&amp;G</t>
  </si>
  <si>
    <t>PNM</t>
  </si>
  <si>
    <t>Con Edison</t>
  </si>
  <si>
    <t>Duke Energy Carolinas</t>
  </si>
  <si>
    <t>AEP Ohio</t>
  </si>
  <si>
    <t>Oklahoma Gas &amp; Electric (OG&amp;E)</t>
  </si>
  <si>
    <t>Portland General Electric (PGE)</t>
  </si>
  <si>
    <t>PECO</t>
  </si>
  <si>
    <t>LUMA Energy</t>
  </si>
  <si>
    <t>Rhode Island Energy</t>
  </si>
  <si>
    <t>Dominion Energy South Carolina</t>
  </si>
  <si>
    <t>Nashville Electric Service</t>
  </si>
  <si>
    <t>Oncor</t>
  </si>
  <si>
    <t>Rocky Mountain Power</t>
  </si>
  <si>
    <t>Green Mountain Power</t>
  </si>
  <si>
    <t>Dominion Energy Virginia</t>
  </si>
  <si>
    <t>Puget Sound Energy</t>
  </si>
  <si>
    <t>Appalachian Power</t>
  </si>
  <si>
    <t>We Energies</t>
  </si>
  <si>
    <t>Huntsville Utilities</t>
  </si>
  <si>
    <t>Matanuska Electric Association</t>
  </si>
  <si>
    <t>Salt River Project (SRP)</t>
  </si>
  <si>
    <t>SWEPCO</t>
  </si>
  <si>
    <t>Southern California Edison (SCE)</t>
  </si>
  <si>
    <t>Colorado Springs Utilities</t>
  </si>
  <si>
    <t>United Illuminating</t>
  </si>
  <si>
    <t>Delaware Electric Cooperative</t>
  </si>
  <si>
    <t>Other</t>
  </si>
  <si>
    <t>Duke Energy Florida</t>
  </si>
  <si>
    <t>Sawnee EMC</t>
  </si>
  <si>
    <t>Maui Electric (MECO)</t>
  </si>
  <si>
    <t>Avista Utilities</t>
  </si>
  <si>
    <t>Ameren Illinois</t>
  </si>
  <si>
    <t>AES Indiana</t>
  </si>
  <si>
    <t>Alliant Energy</t>
  </si>
  <si>
    <t>Midwest Energy</t>
  </si>
  <si>
    <t>Kentucky Utilities (KU)</t>
  </si>
  <si>
    <t>Cleco Power</t>
  </si>
  <si>
    <t>Versant Power</t>
  </si>
  <si>
    <t>National Grid</t>
  </si>
  <si>
    <t>Consumers Energy</t>
  </si>
  <si>
    <t>Minnesota Power</t>
  </si>
  <si>
    <t>Mississippi Power</t>
  </si>
  <si>
    <t>Montana-Dakota Utilities</t>
  </si>
  <si>
    <t>Nebraska Public Power District (NPPD)</t>
  </si>
  <si>
    <t>Valley Electric Association</t>
  </si>
  <si>
    <t>Liberty Utilities</t>
  </si>
  <si>
    <t>Jersey Central Power &amp; Light (JCP&amp;L)</t>
  </si>
  <si>
    <t>El Paso Electric</t>
  </si>
  <si>
    <t>Duke Energy Progress</t>
  </si>
  <si>
    <t>Ohio Edison (FirstEnergy)</t>
  </si>
  <si>
    <t>Public Service Co. of Oklahoma (PSO)</t>
  </si>
  <si>
    <t>Pacific Power</t>
  </si>
  <si>
    <t>PPL Electric Utilities</t>
  </si>
  <si>
    <t>PREPA</t>
  </si>
  <si>
    <t>Pascoag Utility District</t>
  </si>
  <si>
    <t>Black Hills Energy</t>
  </si>
  <si>
    <t>Memphis Light Gas &amp; Water (MLGW)</t>
  </si>
  <si>
    <t>CenterPoint Energy</t>
  </si>
  <si>
    <t>Murray City Power</t>
  </si>
  <si>
    <t>Burlington Electric Department</t>
  </si>
  <si>
    <t>Seattle City Light</t>
  </si>
  <si>
    <t>Mon Power (FirstEnergy)</t>
  </si>
  <si>
    <t>Riviera Utilities</t>
  </si>
  <si>
    <t>Golden Valley Electric Association</t>
  </si>
  <si>
    <t>Tucson Electric Power</t>
  </si>
  <si>
    <t>San Diego Gas &amp; Electric (SDG&amp;E)</t>
  </si>
  <si>
    <t>Norwich Public Utilities</t>
  </si>
  <si>
    <t>City of Dover Electric</t>
  </si>
  <si>
    <t>Tampa Electric (TECO)</t>
  </si>
  <si>
    <t>Cobb EMC</t>
  </si>
  <si>
    <t>Hawaii Electric Light (HELCO)</t>
  </si>
  <si>
    <t>City Water Light &amp; Power (Springfield)</t>
  </si>
  <si>
    <t>NIPSCO</t>
  </si>
  <si>
    <t>Cedar Falls Utilities</t>
  </si>
  <si>
    <t>Kansas City Board of Public Utilities</t>
  </si>
  <si>
    <t>Kentucky Power</t>
  </si>
  <si>
    <t>Kennebunk Light &amp; Power</t>
  </si>
  <si>
    <t>Potomac Edison</t>
  </si>
  <si>
    <t>Unitil</t>
  </si>
  <si>
    <t>Lansing Board of Water &amp; Light</t>
  </si>
  <si>
    <t>Otter Tail Power</t>
  </si>
  <si>
    <t>TVA (North Mississippi)</t>
  </si>
  <si>
    <t>Liberty Utilities (Empire District)</t>
  </si>
  <si>
    <t>Flathead Electric Cooperative</t>
  </si>
  <si>
    <t>Lincoln Electric System</t>
  </si>
  <si>
    <t>Overton Power District</t>
  </si>
  <si>
    <t>Atlantic City Electric</t>
  </si>
  <si>
    <t>Xcel Energy (SPS)</t>
  </si>
  <si>
    <t>NYSEG</t>
  </si>
  <si>
    <t>Dominion Energy North Carolina</t>
  </si>
  <si>
    <t>The Illuminating Company (FirstEnergy)</t>
  </si>
  <si>
    <t>Oklahoma Electric Cooperative</t>
  </si>
  <si>
    <t>Eugene Water &amp; Electric Board (EWEB)</t>
  </si>
  <si>
    <t>Duquesne Light</t>
  </si>
  <si>
    <t>Block Island Utility District</t>
  </si>
  <si>
    <t>Knoxville Utilities Board (KUB)</t>
  </si>
  <si>
    <t>AEP Texas</t>
  </si>
  <si>
    <t>Provo Power</t>
  </si>
  <si>
    <t>Vermont Electric Cooperative</t>
  </si>
  <si>
    <t>Rappahannock Electric Cooperative</t>
  </si>
  <si>
    <t>Tacoma Power</t>
  </si>
  <si>
    <t>Potomac Edison (FirstEnergy)</t>
  </si>
  <si>
    <t>Wisconsin Public Service (WPS)</t>
  </si>
  <si>
    <t>Lower Valley Energy</t>
  </si>
  <si>
    <t>Baldwin EMC</t>
  </si>
  <si>
    <t>Alaska Electric Light &amp; Power</t>
  </si>
  <si>
    <t>UniSource Energy Services</t>
  </si>
  <si>
    <t>Carroll Electric Cooperative</t>
  </si>
  <si>
    <t>Los Angeles Dept. of Water &amp; Power (LADWP)</t>
  </si>
  <si>
    <t>United Power</t>
  </si>
  <si>
    <t>Groton Utilities</t>
  </si>
  <si>
    <t>JEA</t>
  </si>
  <si>
    <t>Jackson EMC</t>
  </si>
  <si>
    <t>Kauai Island Utility Cooperative (KIUC)</t>
  </si>
  <si>
    <t>Idaho Falls Power</t>
  </si>
  <si>
    <t>Indiana Michigan Power</t>
  </si>
  <si>
    <t>Muscatine Power &amp; Water</t>
  </si>
  <si>
    <t>Southern Pioneer Electric</t>
  </si>
  <si>
    <t>Duke Energy Kentucky</t>
  </si>
  <si>
    <t>DEMCO</t>
  </si>
  <si>
    <t>Municipal Light Plant</t>
  </si>
  <si>
    <t>Upper Peninsula Power Co. (UPPCO)</t>
  </si>
  <si>
    <t>Connexus Energy</t>
  </si>
  <si>
    <t>Coast Electric Power Association</t>
  </si>
  <si>
    <t>City Utilities of Springfield</t>
  </si>
  <si>
    <t>Missoula Electric Cooperative</t>
  </si>
  <si>
    <t>New Hampshire Electric Cooperative</t>
  </si>
  <si>
    <t>Rockland Electric</t>
  </si>
  <si>
    <t>Farmington Electric Utility System</t>
  </si>
  <si>
    <t>Rochester Gas &amp; Electric</t>
  </si>
  <si>
    <t>Fayetteville PWC</t>
  </si>
  <si>
    <t>Cass County Electric Cooperative</t>
  </si>
  <si>
    <t>Toledo Edison (FirstEnergy)</t>
  </si>
  <si>
    <t>Edmond Electric</t>
  </si>
  <si>
    <t>Met-Ed (FirstEnergy)</t>
  </si>
  <si>
    <t>Santee Cooper</t>
  </si>
  <si>
    <t>EPB (Chattanooga)</t>
  </si>
  <si>
    <t>Texas-New Mexico Power</t>
  </si>
  <si>
    <t>Dixie Power</t>
  </si>
  <si>
    <t>Washington Electric Cooperative</t>
  </si>
  <si>
    <t>NOVEC</t>
  </si>
  <si>
    <t>Snohomish County PUD</t>
  </si>
  <si>
    <t>Wheeling Power</t>
  </si>
  <si>
    <t>Powder River Energy</t>
  </si>
  <si>
    <t>Cullman Electric Cooperative</t>
  </si>
  <si>
    <t>Homer Electric Association</t>
  </si>
  <si>
    <t>Trico Electric Cooperative</t>
  </si>
  <si>
    <t>First Electric Cooperative</t>
  </si>
  <si>
    <t>Sacramento Municipal Utility District (SMUD)</t>
  </si>
  <si>
    <t>Intermountain Rural Electric Association</t>
  </si>
  <si>
    <t>Orlando Utilities Commission (OUC)</t>
  </si>
  <si>
    <t>Walton EMC</t>
  </si>
  <si>
    <t>CenterPoint Energy Indiana</t>
  </si>
  <si>
    <t>Owen Electric Cooperative</t>
  </si>
  <si>
    <t>SMECO</t>
  </si>
  <si>
    <t>Dakota Electric Association</t>
  </si>
  <si>
    <t>Central Hudson</t>
  </si>
  <si>
    <t>EnergyUnited</t>
  </si>
  <si>
    <t>Duke Energy Ohio</t>
  </si>
  <si>
    <t>Penelec (FirstEnergy)</t>
  </si>
  <si>
    <t>Berkeley Electric Cooperative</t>
  </si>
  <si>
    <t>Middle Tennessee Electric</t>
  </si>
  <si>
    <t>Austin Energy</t>
  </si>
  <si>
    <t>Danville Utilities</t>
  </si>
  <si>
    <t>Madison Gas &amp; Electric (MGE)</t>
  </si>
  <si>
    <t>Imperial Irrigation District</t>
  </si>
  <si>
    <t>Orange &amp; Rockland</t>
  </si>
  <si>
    <t>AES Ohio</t>
  </si>
  <si>
    <t>West Penn Power (FirstEnergy)</t>
  </si>
  <si>
    <t>CPS Energy (San Antonio)</t>
  </si>
  <si>
    <t>Clark Public Utilities</t>
  </si>
  <si>
    <t>PSEG Long Island</t>
  </si>
  <si>
    <t>Mexico</t>
  </si>
  <si>
    <t>Comisión Federal de Electricidad (CFE)</t>
  </si>
  <si>
    <t>Samoan Islands</t>
  </si>
  <si>
    <t>American Samoa Power Authority (ASPA)</t>
  </si>
  <si>
    <t>Electric Power Corporation (Samoa)</t>
  </si>
  <si>
    <t>Thermostats</t>
  </si>
  <si>
    <t>Wired / Wireless</t>
  </si>
  <si>
    <t>Batteries in Use</t>
  </si>
  <si>
    <t>R-20 (standard)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</si>
</sst>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"/>
    <numFmt numFmtId="166" formatCode="#,##0.0"/>
  </numFmts>
  <fonts count="29" x14ac:knownFonts="1">
    <font>
      <sz val="11"/>
      <color theme="1"/>
      <name val="Calibri"/>
      <family val="2"/>
      <charset val="1"/>
    </font>
    <font>
      <b/>
      <sz val="12"/>
      <color theme="0"/>
      <name val="Calibri"/>
      <family val="2"/>
      <scheme val="minor"/>
    </font>
    <font>
      <sz val="11"/>
      <color theme="1"/>
      <name val="Arial"/>
      <family val="2"/>
    </font>
    <font>
      <sz val="18"/>
      <color rgb="FFFFFFFF"/>
      <name val="Arial"/>
      <family val="2"/>
    </font>
    <font>
      <b/>
      <sz val="13"/>
      <color rgb="FF83AB88"/>
      <name val="Arial"/>
      <family val="2"/>
    </font>
    <font>
      <b/>
      <sz val="12"/>
      <color rgb="FF83AB88"/>
      <name val="Arial"/>
      <family val="2"/>
    </font>
    <font>
      <b/>
      <sz val="11"/>
      <color rgb="FFD9D9D9"/>
      <name val="Arial"/>
      <family val="2"/>
    </font>
    <font>
      <b/>
      <sz val="11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b/>
      <sz val="11"/>
      <color rgb="FFFFFFFF"/>
      <name val="Arial"/>
      <family val="2"/>
    </font>
    <font>
      <sz val="11"/>
      <color theme="0"/>
      <name val="Arial"/>
      <family val="2"/>
    </font>
    <font>
      <b/>
      <sz val="11"/>
      <color theme="1"/>
      <name val="Arial"/>
      <family val="2"/>
    </font>
    <font>
      <b/>
      <sz val="10"/>
      <color rgb="FFFFFFFF"/>
      <name val="Arial"/>
      <family val="2"/>
    </font>
    <font>
      <b/>
      <sz val="11"/>
      <color theme="0" tint="-4.9989318521683403E-2"/>
      <name val="Calibri"/>
      <family val="2"/>
      <charset val="1"/>
    </font>
    <font>
      <b/>
      <sz val="11"/>
      <color theme="0" tint="-4.9989318521683403E-2"/>
      <name val="Arial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0"/>
      <color theme="0"/>
      <name val="Calibri"/>
      <family val="2"/>
    </font>
    <font>
      <sz val="11"/>
      <color theme="0"/>
      <name val="Calibri"/>
      <family val="2"/>
      <charset val="1"/>
    </font>
    <font>
      <sz val="10"/>
      <color theme="0"/>
      <name val="Arial"/>
      <family val="2"/>
    </font>
    <font>
      <b/>
      <sz val="10.25"/>
      <color rgb="FFFFFFFF"/>
      <name val="Arial"/>
      <family val="2"/>
    </font>
    <font>
      <b/>
      <sz val="12"/>
      <color theme="1"/>
      <name val="Calibri"/>
      <family val="2"/>
    </font>
    <font>
      <b/>
      <sz val="11"/>
      <color rgb="FFFFFFFF"/>
      <name val="Calibri"/>
      <family val="2"/>
      <charset val="1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A1A1A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632523"/>
        <bgColor indexed="64"/>
      </patternFill>
    </fill>
  </fills>
  <borders count="92">
    <border>
      <left/>
      <right/>
      <top/>
      <bottom/>
      <diagonal/>
    </border>
    <border>
      <left/>
      <right/>
      <top/>
      <bottom style="medium">
        <color rgb="FF83AB88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theme="1" tint="0.34998626667073579"/>
      </bottom>
      <diagonal/>
    </border>
    <border>
      <left style="medium">
        <color theme="0"/>
      </left>
      <right style="medium">
        <color theme="0"/>
      </right>
      <top/>
      <bottom style="thin">
        <color theme="1" tint="0.3499862666707357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thin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theme="0"/>
      </top>
      <bottom/>
      <diagonal/>
    </border>
    <border>
      <left style="medium">
        <color theme="0"/>
      </left>
      <right/>
      <top style="thin">
        <color rgb="FF444444"/>
      </top>
      <bottom/>
      <diagonal/>
    </border>
    <border>
      <left style="medium">
        <color theme="0"/>
      </left>
      <right style="medium">
        <color theme="0"/>
      </right>
      <top style="thin">
        <color rgb="FF444444"/>
      </top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theme="0"/>
      </right>
      <top style="thin">
        <color rgb="FF444444"/>
      </top>
      <bottom/>
      <diagonal/>
    </border>
    <border>
      <left/>
      <right/>
      <top style="thin">
        <color rgb="FF444444"/>
      </top>
      <bottom/>
      <diagonal/>
    </border>
    <border>
      <left style="thin">
        <color theme="0"/>
      </left>
      <right style="thin">
        <color theme="0"/>
      </right>
      <top style="thin">
        <color rgb="FF444444"/>
      </top>
      <bottom/>
      <diagonal/>
    </border>
    <border>
      <left style="medium">
        <color theme="0"/>
      </left>
      <right/>
      <top/>
      <bottom/>
      <diagonal/>
    </border>
    <border>
      <left/>
      <right/>
      <top style="thin">
        <color rgb="FF444444"/>
      </top>
      <bottom style="thin">
        <color rgb="FF444444"/>
      </bottom>
      <diagonal/>
    </border>
    <border>
      <left style="medium">
        <color theme="0"/>
      </left>
      <right/>
      <top style="thin">
        <color rgb="FF444444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rgb="FF444444"/>
      </top>
      <bottom style="medium">
        <color theme="0"/>
      </bottom>
      <diagonal/>
    </border>
    <border>
      <left/>
      <right/>
      <top style="thin">
        <color rgb="FF444444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rgb="FF444444"/>
      </top>
      <bottom style="medium">
        <color theme="0"/>
      </bottom>
      <diagonal/>
    </border>
    <border>
      <left style="medium">
        <color theme="0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medium">
        <color theme="0"/>
      </right>
      <top/>
      <bottom style="thin">
        <color theme="0" tint="-0.499984740745262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rgb="FF444444"/>
      </bottom>
      <diagonal/>
    </border>
    <border>
      <left/>
      <right/>
      <top/>
      <bottom style="thin">
        <color rgb="FF444444"/>
      </bottom>
      <diagonal/>
    </border>
    <border>
      <left style="medium">
        <color theme="0"/>
      </left>
      <right style="medium">
        <color theme="0"/>
      </right>
      <top/>
      <bottom style="thin">
        <color rgb="FF44444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theme="1" tint="0.249977111117893"/>
      </bottom>
      <diagonal/>
    </border>
    <border>
      <left style="medium">
        <color theme="0"/>
      </left>
      <right style="medium">
        <color theme="0"/>
      </right>
      <top style="thin">
        <color rgb="FF83AB88"/>
      </top>
      <bottom style="thin">
        <color rgb="FF444444"/>
      </bottom>
      <diagonal/>
    </border>
    <border>
      <left/>
      <right/>
      <top style="thin">
        <color rgb="FF83AB88"/>
      </top>
      <bottom style="thin">
        <color rgb="FF444444"/>
      </bottom>
      <diagonal/>
    </border>
    <border>
      <left style="medium">
        <color theme="0"/>
      </left>
      <right style="medium">
        <color theme="0"/>
      </right>
      <top style="thin">
        <color rgb="FF83AB88"/>
      </top>
      <bottom style="medium">
        <color theme="0"/>
      </bottom>
      <diagonal/>
    </border>
    <border>
      <left/>
      <right/>
      <top style="thin">
        <color rgb="FF83AB88"/>
      </top>
      <bottom style="medium">
        <color theme="0"/>
      </bottom>
      <diagonal/>
    </border>
    <border>
      <left/>
      <right/>
      <top style="medium">
        <color theme="0"/>
      </top>
      <bottom style="thin">
        <color rgb="FF444444"/>
      </bottom>
      <diagonal/>
    </border>
    <border>
      <left style="medium">
        <color theme="0"/>
      </left>
      <right style="medium">
        <color theme="0"/>
      </right>
      <top/>
      <bottom style="thin">
        <color theme="1" tint="0.249977111117893"/>
      </bottom>
      <diagonal/>
    </border>
    <border>
      <left style="medium">
        <color theme="0"/>
      </left>
      <right style="medium">
        <color theme="0"/>
      </right>
      <top style="thin">
        <color theme="1" tint="0.249977111117893"/>
      </top>
      <bottom style="thin">
        <color theme="1" tint="0.249977111117893"/>
      </bottom>
      <diagonal/>
    </border>
    <border>
      <left/>
      <right style="medium">
        <color theme="0"/>
      </right>
      <top style="medium">
        <color theme="0"/>
      </top>
      <bottom style="thin">
        <color rgb="FF444444"/>
      </bottom>
      <diagonal/>
    </border>
    <border>
      <left/>
      <right style="medium">
        <color theme="0"/>
      </right>
      <top/>
      <bottom style="thin">
        <color rgb="FF444444"/>
      </bottom>
      <diagonal/>
    </border>
    <border>
      <left/>
      <right style="medium">
        <color theme="0"/>
      </right>
      <top style="thin">
        <color rgb="FF83AB88"/>
      </top>
      <bottom style="thin">
        <color rgb="FF444444"/>
      </bottom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thin">
        <color rgb="FF83AB88"/>
      </top>
      <bottom/>
      <diagonal/>
    </border>
    <border>
      <left/>
      <right style="medium">
        <color theme="0"/>
      </right>
      <top style="thin">
        <color rgb="FF83AB88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 style="thin">
        <color rgb="FF444444"/>
      </bottom>
      <diagonal/>
    </border>
    <border>
      <left style="medium">
        <color theme="0"/>
      </left>
      <right style="medium">
        <color theme="0"/>
      </right>
      <top style="medium">
        <color rgb="FFFFFFFF"/>
      </top>
      <bottom style="thin">
        <color rgb="FF444444"/>
      </bottom>
      <diagonal/>
    </border>
    <border>
      <left/>
      <right/>
      <top style="medium">
        <color rgb="FFFFFFFF"/>
      </top>
      <bottom style="thin">
        <color rgb="FF444444"/>
      </bottom>
      <diagonal/>
    </border>
    <border>
      <left style="medium">
        <color rgb="FFFFFFFF"/>
      </left>
      <right/>
      <top style="thin">
        <color rgb="FF444444"/>
      </top>
      <bottom style="thin">
        <color rgb="FF444444"/>
      </bottom>
      <diagonal/>
    </border>
    <border>
      <left style="medium">
        <color theme="0"/>
      </left>
      <right style="medium">
        <color theme="0"/>
      </right>
      <top style="thin">
        <color rgb="FF444444"/>
      </top>
      <bottom style="thin">
        <color rgb="FF444444"/>
      </bottom>
      <diagonal/>
    </border>
    <border>
      <left style="medium">
        <color rgb="FFFFFFFF"/>
      </left>
      <right/>
      <top style="thin">
        <color rgb="FF444444"/>
      </top>
      <bottom/>
      <diagonal/>
    </border>
    <border>
      <left style="medium">
        <color rgb="FFFFFFFF"/>
      </left>
      <right style="medium">
        <color theme="0"/>
      </right>
      <top style="thin">
        <color rgb="FF444444"/>
      </top>
      <bottom style="thin">
        <color theme="1" tint="0.34998626667073579"/>
      </bottom>
      <diagonal/>
    </border>
    <border>
      <left style="medium">
        <color rgb="FFFFFFFF"/>
      </left>
      <right style="medium">
        <color theme="0"/>
      </right>
      <top/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 style="thin">
        <color rgb="FF444444"/>
      </bottom>
      <diagonal/>
    </border>
    <border>
      <left style="medium">
        <color rgb="FFFFFFFF"/>
      </left>
      <right/>
      <top style="medium">
        <color theme="0"/>
      </top>
      <bottom style="thin">
        <color rgb="FF444444"/>
      </bottom>
      <diagonal/>
    </border>
    <border>
      <left style="medium">
        <color theme="0"/>
      </left>
      <right style="medium">
        <color theme="0"/>
      </right>
      <top style="thin">
        <color theme="1" tint="0.34998626667073579"/>
      </top>
      <bottom/>
      <diagonal/>
    </border>
    <border>
      <left style="medium">
        <color theme="0"/>
      </left>
      <right/>
      <top/>
      <bottom style="thin">
        <color rgb="FF444444"/>
      </bottom>
      <diagonal/>
    </border>
    <border>
      <left style="medium">
        <color rgb="FFFFFFFF"/>
      </left>
      <right/>
      <top/>
      <bottom style="thin">
        <color rgb="FF444444"/>
      </bottom>
      <diagonal/>
    </border>
    <border>
      <left style="medium">
        <color rgb="FFFFFFFF"/>
      </left>
      <right/>
      <top/>
      <bottom/>
      <diagonal/>
    </border>
    <border>
      <left style="medium">
        <color theme="0"/>
      </left>
      <right style="medium">
        <color theme="0"/>
      </right>
      <top style="thin">
        <color theme="1" tint="0.34998626667073579"/>
      </top>
      <bottom style="medium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 style="thin">
        <color theme="1" tint="0.34998626667073579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/>
      <bottom style="thin">
        <color theme="0"/>
      </bottom>
      <diagonal/>
    </border>
    <border>
      <left style="medium">
        <color theme="0"/>
      </left>
      <right style="medium">
        <color rgb="FFFFFFFF"/>
      </right>
      <top style="medium">
        <color rgb="FFFFFFFF"/>
      </top>
      <bottom/>
      <diagonal/>
    </border>
    <border>
      <left style="medium">
        <color theme="0"/>
      </left>
      <right style="medium">
        <color rgb="FFFFFFFF"/>
      </right>
      <top/>
      <bottom/>
      <diagonal/>
    </border>
    <border>
      <left style="medium">
        <color theme="0"/>
      </left>
      <right style="medium">
        <color rgb="FFFFFFFF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28">
    <xf numFmtId="0" fontId="0" fillId="0" borderId="0" xfId="0"/>
    <xf numFmtId="0" fontId="2" fillId="2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2" fillId="3" borderId="0" xfId="0" applyFont="1" applyFill="1" applyAlignment="1" applyProtection="1">
      <alignment vertical="center"/>
      <protection locked="0"/>
    </xf>
    <xf numFmtId="0" fontId="7" fillId="3" borderId="0" xfId="0" applyFont="1" applyFill="1" applyAlignment="1" applyProtection="1">
      <alignment vertical="center"/>
      <protection locked="0"/>
    </xf>
    <xf numFmtId="0" fontId="4" fillId="4" borderId="1" xfId="0" applyFont="1" applyFill="1" applyBorder="1" applyAlignment="1" applyProtection="1">
      <alignment vertical="center"/>
      <protection locked="0"/>
    </xf>
    <xf numFmtId="0" fontId="11" fillId="5" borderId="2" xfId="0" applyFont="1" applyFill="1" applyBorder="1" applyAlignment="1" applyProtection="1">
      <alignment horizontal="center" vertical="center"/>
      <protection locked="0"/>
    </xf>
    <xf numFmtId="0" fontId="11" fillId="8" borderId="6" xfId="0" applyFont="1" applyFill="1" applyBorder="1" applyAlignment="1" applyProtection="1">
      <alignment horizontal="center" vertical="center"/>
      <protection locked="0"/>
    </xf>
    <xf numFmtId="3" fontId="11" fillId="8" borderId="31" xfId="0" applyNumberFormat="1" applyFont="1" applyFill="1" applyBorder="1" applyAlignment="1" applyProtection="1">
      <alignment horizontal="center" vertical="center"/>
      <protection locked="0"/>
    </xf>
    <xf numFmtId="0" fontId="11" fillId="8" borderId="32" xfId="0" applyFont="1" applyFill="1" applyBorder="1" applyAlignment="1" applyProtection="1">
      <alignment horizontal="center" vertical="center"/>
      <protection locked="0"/>
    </xf>
    <xf numFmtId="3" fontId="11" fillId="8" borderId="33" xfId="0" applyNumberFormat="1" applyFont="1" applyFill="1" applyBorder="1" applyAlignment="1" applyProtection="1">
      <alignment horizontal="center" vertical="center"/>
      <protection locked="0"/>
    </xf>
    <xf numFmtId="165" fontId="11" fillId="8" borderId="33" xfId="0" applyNumberFormat="1" applyFont="1" applyFill="1" applyBorder="1" applyAlignment="1" applyProtection="1">
      <alignment horizontal="center" vertical="center"/>
      <protection locked="0"/>
    </xf>
    <xf numFmtId="3" fontId="11" fillId="8" borderId="35" xfId="0" applyNumberFormat="1" applyFont="1" applyFill="1" applyBorder="1" applyAlignment="1" applyProtection="1">
      <alignment horizontal="center" vertical="center"/>
      <protection locked="0"/>
    </xf>
    <xf numFmtId="165" fontId="11" fillId="8" borderId="35" xfId="0" applyNumberFormat="1" applyFont="1" applyFill="1" applyBorder="1" applyAlignment="1" applyProtection="1">
      <alignment horizontal="center" vertical="center"/>
      <protection locked="0"/>
    </xf>
    <xf numFmtId="3" fontId="11" fillId="8" borderId="37" xfId="0" applyNumberFormat="1" applyFont="1" applyFill="1" applyBorder="1" applyAlignment="1" applyProtection="1">
      <alignment horizontal="center" vertical="center"/>
      <protection locked="0"/>
    </xf>
    <xf numFmtId="165" fontId="11" fillId="8" borderId="37" xfId="0" applyNumberFormat="1" applyFont="1" applyFill="1" applyBorder="1" applyAlignment="1" applyProtection="1">
      <alignment horizontal="center" vertical="center"/>
      <protection locked="0"/>
    </xf>
    <xf numFmtId="0" fontId="11" fillId="8" borderId="39" xfId="0" applyFont="1" applyFill="1" applyBorder="1" applyAlignment="1" applyProtection="1">
      <alignment horizontal="center" vertical="center"/>
      <protection locked="0"/>
    </xf>
    <xf numFmtId="0" fontId="11" fillId="8" borderId="31" xfId="0" applyFont="1" applyFill="1" applyBorder="1" applyAlignment="1" applyProtection="1">
      <alignment horizontal="center" vertical="center"/>
      <protection locked="0"/>
    </xf>
    <xf numFmtId="165" fontId="11" fillId="8" borderId="39" xfId="0" applyNumberFormat="1" applyFont="1" applyFill="1" applyBorder="1" applyAlignment="1" applyProtection="1">
      <alignment horizontal="center" vertical="center"/>
      <protection locked="0"/>
    </xf>
    <xf numFmtId="165" fontId="11" fillId="8" borderId="31" xfId="0" applyNumberFormat="1" applyFont="1" applyFill="1" applyBorder="1" applyAlignment="1" applyProtection="1">
      <alignment horizontal="center" vertical="center"/>
      <protection locked="0"/>
    </xf>
    <xf numFmtId="1" fontId="11" fillId="8" borderId="31" xfId="0" applyNumberFormat="1" applyFont="1" applyFill="1" applyBorder="1" applyAlignment="1" applyProtection="1">
      <alignment horizontal="center" vertical="center"/>
      <protection locked="0"/>
    </xf>
    <xf numFmtId="0" fontId="11" fillId="8" borderId="33" xfId="0" applyFont="1" applyFill="1" applyBorder="1" applyAlignment="1" applyProtection="1">
      <alignment horizontal="center" vertical="center"/>
      <protection locked="0"/>
    </xf>
    <xf numFmtId="165" fontId="11" fillId="8" borderId="32" xfId="0" applyNumberFormat="1" applyFont="1" applyFill="1" applyBorder="1" applyAlignment="1" applyProtection="1">
      <alignment horizontal="center" vertical="center"/>
      <protection locked="0"/>
    </xf>
    <xf numFmtId="1" fontId="11" fillId="8" borderId="33" xfId="0" applyNumberFormat="1" applyFont="1" applyFill="1" applyBorder="1" applyAlignment="1" applyProtection="1">
      <alignment horizontal="center" vertical="center"/>
      <protection locked="0"/>
    </xf>
    <xf numFmtId="1" fontId="11" fillId="8" borderId="35" xfId="0" applyNumberFormat="1" applyFont="1" applyFill="1" applyBorder="1" applyAlignment="1" applyProtection="1">
      <alignment horizontal="center" vertical="center"/>
      <protection locked="0"/>
    </xf>
    <xf numFmtId="0" fontId="11" fillId="8" borderId="35" xfId="0" applyFont="1" applyFill="1" applyBorder="1" applyAlignment="1" applyProtection="1">
      <alignment horizontal="center" vertical="center"/>
      <protection locked="0"/>
    </xf>
    <xf numFmtId="165" fontId="11" fillId="8" borderId="36" xfId="0" applyNumberFormat="1" applyFont="1" applyFill="1" applyBorder="1" applyAlignment="1" applyProtection="1">
      <alignment horizontal="center" vertical="center"/>
      <protection locked="0"/>
    </xf>
    <xf numFmtId="0" fontId="11" fillId="8" borderId="36" xfId="0" applyFont="1" applyFill="1" applyBorder="1" applyAlignment="1" applyProtection="1">
      <alignment horizontal="center" vertical="center"/>
      <protection locked="0"/>
    </xf>
    <xf numFmtId="0" fontId="11" fillId="8" borderId="38" xfId="0" applyFont="1" applyFill="1" applyBorder="1" applyAlignment="1" applyProtection="1">
      <alignment horizontal="center" vertical="center"/>
      <protection locked="0"/>
    </xf>
    <xf numFmtId="11" fontId="11" fillId="8" borderId="37" xfId="0" applyNumberFormat="1" applyFont="1" applyFill="1" applyBorder="1" applyAlignment="1" applyProtection="1">
      <alignment horizontal="center" vertical="center"/>
      <protection locked="0"/>
    </xf>
    <xf numFmtId="165" fontId="11" fillId="8" borderId="38" xfId="0" applyNumberFormat="1" applyFont="1" applyFill="1" applyBorder="1" applyAlignment="1" applyProtection="1">
      <alignment horizontal="center" vertical="center"/>
      <protection locked="0"/>
    </xf>
    <xf numFmtId="1" fontId="11" fillId="8" borderId="37" xfId="0" applyNumberFormat="1" applyFont="1" applyFill="1" applyBorder="1" applyAlignment="1" applyProtection="1">
      <alignment horizontal="center" vertical="center"/>
      <protection locked="0"/>
    </xf>
    <xf numFmtId="1" fontId="11" fillId="8" borderId="46" xfId="0" applyNumberFormat="1" applyFont="1" applyFill="1" applyBorder="1" applyAlignment="1" applyProtection="1">
      <alignment horizontal="center" vertical="center"/>
      <protection locked="0"/>
    </xf>
    <xf numFmtId="0" fontId="13" fillId="3" borderId="0" xfId="0" applyFont="1" applyFill="1" applyAlignment="1" applyProtection="1">
      <alignment vertical="center"/>
      <protection locked="0"/>
    </xf>
    <xf numFmtId="0" fontId="14" fillId="8" borderId="52" xfId="0" applyFont="1" applyFill="1" applyBorder="1" applyAlignment="1" applyProtection="1">
      <alignment horizontal="center" vertical="center"/>
      <protection locked="0"/>
    </xf>
    <xf numFmtId="3" fontId="14" fillId="8" borderId="53" xfId="0" applyNumberFormat="1" applyFont="1" applyFill="1" applyBorder="1" applyAlignment="1" applyProtection="1">
      <alignment horizontal="center" vertical="center"/>
      <protection locked="0"/>
    </xf>
    <xf numFmtId="0" fontId="7" fillId="3" borderId="2" xfId="0" applyFont="1" applyFill="1" applyBorder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center" vertical="center"/>
      <protection locked="0"/>
    </xf>
    <xf numFmtId="0" fontId="2" fillId="3" borderId="69" xfId="0" applyFont="1" applyFill="1" applyBorder="1" applyAlignment="1" applyProtection="1">
      <alignment vertical="center"/>
      <protection locked="0"/>
    </xf>
    <xf numFmtId="0" fontId="7" fillId="3" borderId="72" xfId="0" applyFont="1" applyFill="1" applyBorder="1" applyAlignment="1" applyProtection="1">
      <alignment vertical="center"/>
      <protection locked="0"/>
    </xf>
    <xf numFmtId="0" fontId="2" fillId="3" borderId="72" xfId="0" applyFont="1" applyFill="1" applyBorder="1" applyAlignment="1" applyProtection="1">
      <alignment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7" fillId="2" borderId="0" xfId="0" applyFont="1" applyFill="1" applyAlignment="1" applyProtection="1">
      <alignment horizontal="right" vertical="center"/>
      <protection locked="0"/>
    </xf>
    <xf numFmtId="0" fontId="5" fillId="4" borderId="1" xfId="0" applyFont="1" applyFill="1" applyBorder="1" applyAlignment="1" applyProtection="1">
      <alignment vertical="center"/>
      <protection locked="0"/>
    </xf>
    <xf numFmtId="0" fontId="6" fillId="3" borderId="0" xfId="0" applyFont="1" applyFill="1" applyAlignment="1" applyProtection="1">
      <alignment horizontal="right" vertical="center"/>
      <protection locked="0"/>
    </xf>
    <xf numFmtId="0" fontId="7" fillId="3" borderId="0" xfId="0" applyFont="1" applyFill="1" applyAlignment="1" applyProtection="1">
      <alignment horizontal="right" vertical="center"/>
      <protection locked="0"/>
    </xf>
    <xf numFmtId="0" fontId="6" fillId="3" borderId="0" xfId="0" applyFont="1" applyFill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12" fillId="3" borderId="0" xfId="0" applyFont="1" applyFill="1" applyAlignment="1" applyProtection="1">
      <alignment vertical="center"/>
      <protection locked="0"/>
    </xf>
    <xf numFmtId="0" fontId="11" fillId="8" borderId="5" xfId="0" applyFont="1" applyFill="1" applyBorder="1" applyAlignment="1" applyProtection="1">
      <alignment horizontal="center" vertical="center"/>
      <protection locked="0"/>
    </xf>
    <xf numFmtId="0" fontId="7" fillId="5" borderId="7" xfId="0" applyFont="1" applyFill="1" applyBorder="1" applyAlignment="1" applyProtection="1">
      <alignment horizontal="right" vertical="center"/>
      <protection locked="0"/>
    </xf>
    <xf numFmtId="3" fontId="11" fillId="8" borderId="8" xfId="0" applyNumberFormat="1" applyFont="1" applyFill="1" applyBorder="1" applyAlignment="1" applyProtection="1">
      <alignment horizontal="center" vertical="center"/>
      <protection locked="0"/>
    </xf>
    <xf numFmtId="3" fontId="11" fillId="8" borderId="9" xfId="0" applyNumberFormat="1" applyFont="1" applyFill="1" applyBorder="1" applyAlignment="1" applyProtection="1">
      <alignment horizontal="center" vertical="center"/>
      <protection locked="0"/>
    </xf>
    <xf numFmtId="164" fontId="11" fillId="8" borderId="10" xfId="0" applyNumberFormat="1" applyFont="1" applyFill="1" applyBorder="1" applyAlignment="1" applyProtection="1">
      <alignment horizontal="center" vertical="center"/>
      <protection locked="0"/>
    </xf>
    <xf numFmtId="164" fontId="11" fillId="8" borderId="11" xfId="0" applyNumberFormat="1" applyFont="1" applyFill="1" applyBorder="1" applyAlignment="1" applyProtection="1">
      <alignment horizontal="center" vertical="center"/>
      <protection locked="0"/>
    </xf>
    <xf numFmtId="164" fontId="11" fillId="8" borderId="9" xfId="0" applyNumberFormat="1" applyFont="1" applyFill="1" applyBorder="1" applyAlignment="1" applyProtection="1">
      <alignment horizontal="center" vertical="center"/>
      <protection locked="0"/>
    </xf>
    <xf numFmtId="3" fontId="11" fillId="8" borderId="12" xfId="0" applyNumberFormat="1" applyFont="1" applyFill="1" applyBorder="1" applyAlignment="1" applyProtection="1">
      <alignment horizontal="center" vertical="center"/>
      <protection locked="0"/>
    </xf>
    <xf numFmtId="3" fontId="11" fillId="8" borderId="15" xfId="0" applyNumberFormat="1" applyFont="1" applyFill="1" applyBorder="1" applyAlignment="1" applyProtection="1">
      <alignment horizontal="center" vertical="center"/>
      <protection locked="0"/>
    </xf>
    <xf numFmtId="164" fontId="11" fillId="8" borderId="16" xfId="0" applyNumberFormat="1" applyFont="1" applyFill="1" applyBorder="1" applyAlignment="1" applyProtection="1">
      <alignment horizontal="center" vertical="center"/>
      <protection locked="0"/>
    </xf>
    <xf numFmtId="164" fontId="11" fillId="8" borderId="17" xfId="0" applyNumberFormat="1" applyFont="1" applyFill="1" applyBorder="1" applyAlignment="1" applyProtection="1">
      <alignment horizontal="center" vertical="center"/>
      <protection locked="0"/>
    </xf>
    <xf numFmtId="164" fontId="11" fillId="8" borderId="15" xfId="0" applyNumberFormat="1" applyFont="1" applyFill="1" applyBorder="1" applyAlignment="1" applyProtection="1">
      <alignment horizontal="center" vertical="center"/>
      <protection locked="0"/>
    </xf>
    <xf numFmtId="164" fontId="11" fillId="8" borderId="19" xfId="0" applyNumberFormat="1" applyFont="1" applyFill="1" applyBorder="1" applyAlignment="1" applyProtection="1">
      <alignment horizontal="center" vertical="center"/>
      <protection locked="0"/>
    </xf>
    <xf numFmtId="3" fontId="11" fillId="8" borderId="20" xfId="0" applyNumberFormat="1" applyFont="1" applyFill="1" applyBorder="1" applyAlignment="1" applyProtection="1">
      <alignment horizontal="center" vertical="center"/>
      <protection locked="0"/>
    </xf>
    <xf numFmtId="3" fontId="11" fillId="8" borderId="21" xfId="0" applyNumberFormat="1" applyFont="1" applyFill="1" applyBorder="1" applyAlignment="1" applyProtection="1">
      <alignment horizontal="center" vertical="center"/>
      <protection locked="0"/>
    </xf>
    <xf numFmtId="164" fontId="11" fillId="8" borderId="22" xfId="0" applyNumberFormat="1" applyFont="1" applyFill="1" applyBorder="1" applyAlignment="1" applyProtection="1">
      <alignment horizontal="center" vertical="center"/>
      <protection locked="0"/>
    </xf>
    <xf numFmtId="164" fontId="11" fillId="8" borderId="23" xfId="0" applyNumberFormat="1" applyFont="1" applyFill="1" applyBorder="1" applyAlignment="1" applyProtection="1">
      <alignment horizontal="center" vertical="center"/>
      <protection locked="0"/>
    </xf>
    <xf numFmtId="164" fontId="11" fillId="8" borderId="21" xfId="0" applyNumberFormat="1" applyFont="1" applyFill="1" applyBorder="1" applyAlignment="1" applyProtection="1">
      <alignment horizontal="center" vertical="center"/>
      <protection locked="0"/>
    </xf>
    <xf numFmtId="164" fontId="7" fillId="3" borderId="0" xfId="0" applyNumberFormat="1" applyFont="1" applyFill="1" applyAlignment="1" applyProtection="1">
      <alignment vertical="center"/>
      <protection locked="0"/>
    </xf>
    <xf numFmtId="3" fontId="7" fillId="6" borderId="2" xfId="0" applyNumberFormat="1" applyFont="1" applyFill="1" applyBorder="1" applyAlignment="1" applyProtection="1">
      <alignment horizontal="center" vertical="center"/>
      <protection locked="0"/>
    </xf>
    <xf numFmtId="0" fontId="7" fillId="7" borderId="3" xfId="0" applyFont="1" applyFill="1" applyBorder="1" applyAlignment="1" applyProtection="1">
      <alignment horizontal="right" vertical="center"/>
      <protection locked="0"/>
    </xf>
    <xf numFmtId="164" fontId="7" fillId="6" borderId="2" xfId="0" applyNumberFormat="1" applyFont="1" applyFill="1" applyBorder="1" applyAlignment="1" applyProtection="1">
      <alignment horizontal="center" vertical="center"/>
      <protection locked="0"/>
    </xf>
    <xf numFmtId="164" fontId="7" fillId="6" borderId="4" xfId="0" applyNumberFormat="1" applyFont="1" applyFill="1" applyBorder="1" applyAlignment="1" applyProtection="1">
      <alignment horizontal="center" vertical="center"/>
      <protection locked="0"/>
    </xf>
    <xf numFmtId="0" fontId="5" fillId="4" borderId="0" xfId="0" applyFont="1" applyFill="1" applyAlignment="1" applyProtection="1">
      <alignment vertical="center"/>
      <protection locked="0"/>
    </xf>
    <xf numFmtId="0" fontId="2" fillId="9" borderId="0" xfId="0" applyFont="1" applyFill="1" applyAlignment="1" applyProtection="1">
      <alignment vertical="center"/>
      <protection locked="0"/>
    </xf>
    <xf numFmtId="0" fontId="11" fillId="8" borderId="37" xfId="0" applyFont="1" applyFill="1" applyBorder="1" applyAlignment="1" applyProtection="1">
      <alignment horizontal="center" vertical="center"/>
      <protection locked="0"/>
    </xf>
    <xf numFmtId="0" fontId="11" fillId="2" borderId="3" xfId="0" applyFont="1" applyFill="1" applyBorder="1" applyAlignment="1" applyProtection="1">
      <alignment vertical="center"/>
      <protection locked="0"/>
    </xf>
    <xf numFmtId="0" fontId="11" fillId="2" borderId="4" xfId="0" applyFont="1" applyFill="1" applyBorder="1" applyAlignment="1" applyProtection="1">
      <alignment vertical="center"/>
      <protection locked="0"/>
    </xf>
    <xf numFmtId="0" fontId="4" fillId="10" borderId="0" xfId="0" applyFont="1" applyFill="1" applyAlignment="1" applyProtection="1">
      <alignment horizontal="center" vertical="center"/>
      <protection locked="0"/>
    </xf>
    <xf numFmtId="0" fontId="2" fillId="10" borderId="0" xfId="0" applyFont="1" applyFill="1" applyAlignment="1" applyProtection="1">
      <alignment vertical="center"/>
      <protection locked="0"/>
    </xf>
    <xf numFmtId="0" fontId="2" fillId="2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0" fontId="2" fillId="3" borderId="0" xfId="0" applyFont="1" applyFill="1" applyProtection="1">
      <protection locked="0"/>
    </xf>
    <xf numFmtId="0" fontId="2" fillId="0" borderId="0" xfId="0" applyFont="1" applyProtection="1">
      <protection locked="0"/>
    </xf>
    <xf numFmtId="165" fontId="11" fillId="10" borderId="40" xfId="0" applyNumberFormat="1" applyFont="1" applyFill="1" applyBorder="1" applyAlignment="1" applyProtection="1">
      <alignment horizontal="center" vertical="center"/>
      <protection locked="0"/>
    </xf>
    <xf numFmtId="165" fontId="11" fillId="10" borderId="41" xfId="0" applyNumberFormat="1" applyFont="1" applyFill="1" applyBorder="1" applyAlignment="1" applyProtection="1">
      <alignment horizontal="center" vertical="center"/>
      <protection locked="0"/>
    </xf>
    <xf numFmtId="0" fontId="2" fillId="9" borderId="28" xfId="0" applyFont="1" applyFill="1" applyBorder="1" applyAlignment="1" applyProtection="1">
      <alignment vertical="center"/>
      <protection locked="0"/>
    </xf>
    <xf numFmtId="3" fontId="11" fillId="8" borderId="42" xfId="0" applyNumberFormat="1" applyFont="1" applyFill="1" applyBorder="1" applyAlignment="1" applyProtection="1">
      <alignment horizontal="center" vertical="center"/>
      <protection locked="0"/>
    </xf>
    <xf numFmtId="13" fontId="11" fillId="8" borderId="31" xfId="0" applyNumberFormat="1" applyFont="1" applyFill="1" applyBorder="1" applyAlignment="1" applyProtection="1">
      <alignment horizontal="center" vertical="center"/>
      <protection locked="0"/>
    </xf>
    <xf numFmtId="3" fontId="11" fillId="8" borderId="43" xfId="0" applyNumberFormat="1" applyFont="1" applyFill="1" applyBorder="1" applyAlignment="1" applyProtection="1">
      <alignment horizontal="center" vertical="center"/>
      <protection locked="0"/>
    </xf>
    <xf numFmtId="13" fontId="11" fillId="8" borderId="33" xfId="0" applyNumberFormat="1" applyFont="1" applyFill="1" applyBorder="1" applyAlignment="1" applyProtection="1">
      <alignment horizontal="center" vertical="center"/>
      <protection locked="0"/>
    </xf>
    <xf numFmtId="3" fontId="11" fillId="8" borderId="44" xfId="0" applyNumberFormat="1" applyFont="1" applyFill="1" applyBorder="1" applyAlignment="1" applyProtection="1">
      <alignment horizontal="center" vertical="center"/>
      <protection locked="0"/>
    </xf>
    <xf numFmtId="13" fontId="11" fillId="8" borderId="35" xfId="0" applyNumberFormat="1" applyFont="1" applyFill="1" applyBorder="1" applyAlignment="1" applyProtection="1">
      <alignment horizontal="center" vertical="center"/>
      <protection locked="0"/>
    </xf>
    <xf numFmtId="0" fontId="11" fillId="10" borderId="30" xfId="0" applyFont="1" applyFill="1" applyBorder="1" applyAlignment="1" applyProtection="1">
      <alignment horizontal="center" vertical="center"/>
      <protection locked="0"/>
    </xf>
    <xf numFmtId="3" fontId="11" fillId="10" borderId="30" xfId="0" applyNumberFormat="1" applyFont="1" applyFill="1" applyBorder="1" applyAlignment="1" applyProtection="1">
      <alignment horizontal="center" vertical="center"/>
      <protection locked="0"/>
    </xf>
    <xf numFmtId="0" fontId="11" fillId="10" borderId="30" xfId="0" applyFont="1" applyFill="1" applyBorder="1" applyAlignment="1" applyProtection="1">
      <alignment vertical="center"/>
      <protection locked="0"/>
    </xf>
    <xf numFmtId="165" fontId="11" fillId="10" borderId="30" xfId="0" applyNumberFormat="1" applyFont="1" applyFill="1" applyBorder="1" applyAlignment="1" applyProtection="1">
      <alignment horizontal="center" vertical="center"/>
      <protection locked="0"/>
    </xf>
    <xf numFmtId="165" fontId="11" fillId="10" borderId="30" xfId="0" applyNumberFormat="1" applyFont="1" applyFill="1" applyBorder="1" applyAlignment="1" applyProtection="1">
      <alignment vertical="center"/>
      <protection locked="0"/>
    </xf>
    <xf numFmtId="1" fontId="11" fillId="8" borderId="44" xfId="0" applyNumberFormat="1" applyFont="1" applyFill="1" applyBorder="1" applyAlignment="1" applyProtection="1">
      <alignment horizontal="center" vertical="center"/>
      <protection locked="0"/>
    </xf>
    <xf numFmtId="0" fontId="2" fillId="2" borderId="45" xfId="0" applyFont="1" applyFill="1" applyBorder="1" applyAlignment="1" applyProtection="1">
      <alignment vertical="center"/>
      <protection locked="0"/>
    </xf>
    <xf numFmtId="0" fontId="11" fillId="8" borderId="46" xfId="0" applyFont="1" applyFill="1" applyBorder="1" applyAlignment="1" applyProtection="1">
      <alignment horizontal="center" vertical="center"/>
      <protection locked="0"/>
    </xf>
    <xf numFmtId="1" fontId="11" fillId="8" borderId="47" xfId="0" applyNumberFormat="1" applyFont="1" applyFill="1" applyBorder="1" applyAlignment="1" applyProtection="1">
      <alignment horizontal="center" vertical="center"/>
      <protection locked="0"/>
    </xf>
    <xf numFmtId="165" fontId="11" fillId="8" borderId="46" xfId="0" applyNumberFormat="1" applyFont="1" applyFill="1" applyBorder="1" applyAlignment="1" applyProtection="1">
      <alignment horizontal="center" vertical="center"/>
      <protection locked="0"/>
    </xf>
    <xf numFmtId="0" fontId="2" fillId="2" borderId="18" xfId="0" applyFont="1" applyFill="1" applyBorder="1" applyAlignment="1" applyProtection="1">
      <alignment vertical="center"/>
      <protection locked="0"/>
    </xf>
    <xf numFmtId="0" fontId="11" fillId="8" borderId="48" xfId="0" applyFont="1" applyFill="1" applyBorder="1" applyAlignment="1" applyProtection="1">
      <alignment horizontal="center" vertical="center"/>
      <protection locked="0"/>
    </xf>
    <xf numFmtId="0" fontId="2" fillId="4" borderId="0" xfId="0" applyFont="1" applyFill="1" applyAlignment="1" applyProtection="1">
      <alignment vertical="center"/>
      <protection locked="0"/>
    </xf>
    <xf numFmtId="0" fontId="2" fillId="7" borderId="0" xfId="0" applyFont="1" applyFill="1" applyAlignment="1" applyProtection="1">
      <alignment vertical="center"/>
      <protection locked="0"/>
    </xf>
    <xf numFmtId="0" fontId="14" fillId="8" borderId="51" xfId="0" applyFont="1" applyFill="1" applyBorder="1" applyAlignment="1" applyProtection="1">
      <alignment horizontal="center" vertical="center"/>
      <protection locked="0"/>
    </xf>
    <xf numFmtId="0" fontId="14" fillId="8" borderId="53" xfId="0" applyFont="1" applyFill="1" applyBorder="1" applyAlignment="1" applyProtection="1">
      <alignment horizontal="center" vertical="center"/>
      <protection locked="0"/>
    </xf>
    <xf numFmtId="0" fontId="14" fillId="8" borderId="54" xfId="0" applyFont="1" applyFill="1" applyBorder="1" applyAlignment="1" applyProtection="1">
      <alignment horizontal="center" vertical="center"/>
      <protection locked="0"/>
    </xf>
    <xf numFmtId="0" fontId="14" fillId="8" borderId="55" xfId="0" applyFont="1" applyFill="1" applyBorder="1" applyAlignment="1" applyProtection="1">
      <alignment horizontal="center" vertical="center"/>
      <protection locked="0"/>
    </xf>
    <xf numFmtId="3" fontId="14" fillId="8" borderId="19" xfId="0" applyNumberFormat="1" applyFont="1" applyFill="1" applyBorder="1" applyAlignment="1" applyProtection="1">
      <alignment horizontal="center" vertical="center"/>
      <protection locked="0"/>
    </xf>
    <xf numFmtId="0" fontId="14" fillId="8" borderId="19" xfId="0" applyFont="1" applyFill="1" applyBorder="1" applyAlignment="1" applyProtection="1">
      <alignment horizontal="center" vertical="center"/>
      <protection locked="0"/>
    </xf>
    <xf numFmtId="0" fontId="14" fillId="8" borderId="56" xfId="0" applyFont="1" applyFill="1" applyBorder="1" applyAlignment="1" applyProtection="1">
      <alignment horizontal="center" vertical="center"/>
      <protection locked="0"/>
    </xf>
    <xf numFmtId="0" fontId="14" fillId="8" borderId="13" xfId="0" applyFont="1" applyFill="1" applyBorder="1" applyAlignment="1" applyProtection="1">
      <alignment horizontal="center" vertical="center"/>
      <protection locked="0"/>
    </xf>
    <xf numFmtId="3" fontId="14" fillId="8" borderId="16" xfId="0" applyNumberFormat="1" applyFont="1" applyFill="1" applyBorder="1" applyAlignment="1" applyProtection="1">
      <alignment horizontal="center" vertical="center"/>
      <protection locked="0"/>
    </xf>
    <xf numFmtId="0" fontId="14" fillId="8" borderId="16" xfId="0" applyFont="1" applyFill="1" applyBorder="1" applyAlignment="1" applyProtection="1">
      <alignment horizontal="center" vertical="center"/>
      <protection locked="0"/>
    </xf>
    <xf numFmtId="0" fontId="14" fillId="8" borderId="57" xfId="0" applyFont="1" applyFill="1" applyBorder="1" applyAlignment="1" applyProtection="1">
      <alignment horizontal="center" vertical="center"/>
      <protection locked="0"/>
    </xf>
    <xf numFmtId="0" fontId="14" fillId="8" borderId="58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vertical="center"/>
      <protection locked="0"/>
    </xf>
    <xf numFmtId="0" fontId="11" fillId="8" borderId="60" xfId="0" applyFont="1" applyFill="1" applyBorder="1" applyAlignment="1" applyProtection="1">
      <alignment horizontal="center" vertical="center"/>
      <protection locked="0"/>
    </xf>
    <xf numFmtId="0" fontId="11" fillId="8" borderId="61" xfId="0" applyFont="1" applyFill="1" applyBorder="1" applyAlignment="1" applyProtection="1">
      <alignment horizontal="center" vertical="center"/>
      <protection locked="0"/>
    </xf>
    <xf numFmtId="0" fontId="11" fillId="8" borderId="63" xfId="0" applyFont="1" applyFill="1" applyBorder="1" applyAlignment="1" applyProtection="1">
      <alignment horizontal="center" vertical="center"/>
      <protection locked="0"/>
    </xf>
    <xf numFmtId="0" fontId="11" fillId="8" borderId="64" xfId="0" applyFont="1" applyFill="1" applyBorder="1" applyAlignment="1" applyProtection="1">
      <alignment horizontal="center" vertical="center"/>
      <protection locked="0"/>
    </xf>
    <xf numFmtId="0" fontId="11" fillId="8" borderId="18" xfId="0" applyFont="1" applyFill="1" applyBorder="1" applyAlignment="1" applyProtection="1">
      <alignment horizontal="center" vertical="center"/>
      <protection locked="0"/>
    </xf>
    <xf numFmtId="0" fontId="11" fillId="8" borderId="65" xfId="0" applyFont="1" applyFill="1" applyBorder="1" applyAlignment="1" applyProtection="1">
      <alignment horizontal="center" vertical="center"/>
      <protection locked="0"/>
    </xf>
    <xf numFmtId="3" fontId="11" fillId="8" borderId="48" xfId="0" applyNumberFormat="1" applyFont="1" applyFill="1" applyBorder="1" applyAlignment="1" applyProtection="1">
      <alignment horizontal="center" vertical="center"/>
      <protection locked="0"/>
    </xf>
    <xf numFmtId="0" fontId="15" fillId="8" borderId="0" xfId="0" applyFont="1" applyFill="1" applyProtection="1">
      <protection locked="0"/>
    </xf>
    <xf numFmtId="0" fontId="16" fillId="8" borderId="0" xfId="0" applyFont="1" applyFill="1" applyAlignment="1" applyProtection="1">
      <alignment vertical="center"/>
      <protection locked="0"/>
    </xf>
    <xf numFmtId="0" fontId="24" fillId="3" borderId="0" xfId="0" applyFont="1" applyFill="1" applyProtection="1">
      <protection locked="0"/>
    </xf>
    <xf numFmtId="0" fontId="11" fillId="8" borderId="84" xfId="0" applyFont="1" applyFill="1" applyBorder="1" applyAlignment="1" applyProtection="1">
      <alignment horizontal="center" vertical="center"/>
      <protection locked="0"/>
    </xf>
    <xf numFmtId="0" fontId="25" fillId="7" borderId="2" xfId="0" applyFont="1" applyFill="1" applyBorder="1" applyAlignment="1" applyProtection="1">
      <alignment horizontal="center" vertical="center"/>
      <protection locked="0"/>
    </xf>
    <xf numFmtId="0" fontId="7" fillId="3" borderId="25" xfId="0" applyFont="1" applyFill="1" applyBorder="1" applyAlignment="1" applyProtection="1">
      <alignment vertical="center"/>
      <protection locked="0"/>
    </xf>
    <xf numFmtId="0" fontId="7" fillId="3" borderId="26" xfId="0" applyFont="1" applyFill="1" applyBorder="1" applyAlignment="1" applyProtection="1">
      <alignment vertical="center"/>
      <protection locked="0"/>
    </xf>
    <xf numFmtId="0" fontId="7" fillId="3" borderId="28" xfId="0" applyFont="1" applyFill="1" applyBorder="1" applyAlignment="1" applyProtection="1">
      <alignment vertical="center"/>
      <protection locked="0"/>
    </xf>
    <xf numFmtId="0" fontId="7" fillId="3" borderId="29" xfId="0" applyFont="1" applyFill="1" applyBorder="1" applyAlignment="1" applyProtection="1">
      <alignment vertical="center"/>
      <protection locked="0"/>
    </xf>
    <xf numFmtId="0" fontId="7" fillId="3" borderId="24" xfId="0" applyFont="1" applyFill="1" applyBorder="1" applyAlignment="1" applyProtection="1">
      <alignment vertical="center"/>
      <protection locked="0"/>
    </xf>
    <xf numFmtId="0" fontId="7" fillId="3" borderId="27" xfId="0" applyFont="1" applyFill="1" applyBorder="1" applyAlignment="1" applyProtection="1">
      <alignment vertical="center"/>
      <protection locked="0"/>
    </xf>
    <xf numFmtId="3" fontId="11" fillId="8" borderId="85" xfId="0" applyNumberFormat="1" applyFont="1" applyFill="1" applyBorder="1" applyAlignment="1" applyProtection="1">
      <alignment horizontal="center" vertical="center"/>
      <protection locked="0"/>
    </xf>
    <xf numFmtId="0" fontId="6" fillId="5" borderId="83" xfId="0" applyFont="1" applyFill="1" applyBorder="1" applyAlignment="1" applyProtection="1">
      <alignment horizontal="center" vertical="center"/>
      <protection locked="0"/>
    </xf>
    <xf numFmtId="0" fontId="6" fillId="5" borderId="25" xfId="0" applyFont="1" applyFill="1" applyBorder="1" applyAlignment="1" applyProtection="1">
      <alignment horizontal="center" vertical="center"/>
      <protection locked="0"/>
    </xf>
    <xf numFmtId="164" fontId="7" fillId="6" borderId="0" xfId="0" applyNumberFormat="1" applyFont="1" applyFill="1" applyAlignment="1" applyProtection="1">
      <alignment horizontal="center" vertical="center"/>
      <protection locked="0"/>
    </xf>
    <xf numFmtId="0" fontId="11" fillId="5" borderId="3" xfId="0" applyFont="1" applyFill="1" applyBorder="1" applyAlignment="1" applyProtection="1">
      <alignment horizontal="center" vertical="center"/>
      <protection locked="0"/>
    </xf>
    <xf numFmtId="0" fontId="11" fillId="5" borderId="4" xfId="0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3" fontId="11" fillId="7" borderId="12" xfId="0" applyNumberFormat="1" applyFont="1" applyFill="1" applyBorder="1" applyAlignment="1" applyProtection="1">
      <alignment horizontal="center" vertical="center"/>
      <protection locked="0"/>
    </xf>
    <xf numFmtId="164" fontId="11" fillId="7" borderId="13" xfId="0" applyNumberFormat="1" applyFont="1" applyFill="1" applyBorder="1" applyAlignment="1" applyProtection="1">
      <alignment horizontal="center" vertical="center"/>
      <protection locked="0"/>
    </xf>
    <xf numFmtId="0" fontId="7" fillId="7" borderId="14" xfId="0" applyFont="1" applyFill="1" applyBorder="1" applyAlignment="1" applyProtection="1">
      <alignment horizontal="right" vertical="center"/>
      <protection locked="0"/>
    </xf>
    <xf numFmtId="0" fontId="11" fillId="5" borderId="30" xfId="0" applyFont="1" applyFill="1" applyBorder="1" applyAlignment="1" applyProtection="1">
      <alignment horizontal="center" vertical="center"/>
      <protection locked="0"/>
    </xf>
    <xf numFmtId="3" fontId="11" fillId="7" borderId="31" xfId="0" applyNumberFormat="1" applyFont="1" applyFill="1" applyBorder="1" applyAlignment="1" applyProtection="1">
      <alignment horizontal="center" vertical="center"/>
      <protection locked="0"/>
    </xf>
    <xf numFmtId="165" fontId="11" fillId="7" borderId="34" xfId="0" applyNumberFormat="1" applyFont="1" applyFill="1" applyBorder="1" applyAlignment="1" applyProtection="1">
      <alignment horizontal="center" vertical="center"/>
      <protection locked="0"/>
    </xf>
    <xf numFmtId="3" fontId="11" fillId="6" borderId="2" xfId="0" applyNumberFormat="1" applyFont="1" applyFill="1" applyBorder="1" applyAlignment="1" applyProtection="1">
      <alignment horizontal="center" vertical="center"/>
      <protection locked="0"/>
    </xf>
    <xf numFmtId="165" fontId="11" fillId="6" borderId="30" xfId="0" applyNumberFormat="1" applyFont="1" applyFill="1" applyBorder="1" applyAlignment="1" applyProtection="1">
      <alignment horizontal="center" vertical="center"/>
      <protection locked="0"/>
    </xf>
    <xf numFmtId="165" fontId="11" fillId="6" borderId="2" xfId="0" applyNumberFormat="1" applyFont="1" applyFill="1" applyBorder="1" applyAlignment="1" applyProtection="1">
      <alignment horizontal="center" vertical="center"/>
      <protection locked="0"/>
    </xf>
    <xf numFmtId="0" fontId="11" fillId="2" borderId="30" xfId="0" applyFont="1" applyFill="1" applyBorder="1" applyAlignment="1" applyProtection="1">
      <alignment vertical="center"/>
      <protection locked="0"/>
    </xf>
    <xf numFmtId="13" fontId="11" fillId="6" borderId="2" xfId="0" applyNumberFormat="1" applyFont="1" applyFill="1" applyBorder="1" applyAlignment="1" applyProtection="1">
      <alignment horizontal="center" vertical="center"/>
      <protection locked="0"/>
    </xf>
    <xf numFmtId="165" fontId="11" fillId="2" borderId="4" xfId="0" applyNumberFormat="1" applyFont="1" applyFill="1" applyBorder="1" applyAlignment="1" applyProtection="1">
      <alignment vertical="center"/>
      <protection locked="0"/>
    </xf>
    <xf numFmtId="0" fontId="11" fillId="5" borderId="49" xfId="0" applyFont="1" applyFill="1" applyBorder="1" applyAlignment="1" applyProtection="1">
      <alignment horizontal="center" vertical="center"/>
      <protection locked="0"/>
    </xf>
    <xf numFmtId="0" fontId="11" fillId="5" borderId="7" xfId="0" applyFont="1" applyFill="1" applyBorder="1" applyAlignment="1" applyProtection="1">
      <alignment horizontal="center" vertical="center"/>
      <protection locked="0"/>
    </xf>
    <xf numFmtId="0" fontId="11" fillId="7" borderId="50" xfId="0" applyFont="1" applyFill="1" applyBorder="1" applyAlignment="1" applyProtection="1">
      <alignment horizontal="center" vertical="center"/>
      <protection locked="0"/>
    </xf>
    <xf numFmtId="0" fontId="11" fillId="7" borderId="7" xfId="0" applyFont="1" applyFill="1" applyBorder="1" applyAlignment="1" applyProtection="1">
      <alignment horizontal="center" vertical="center"/>
      <protection locked="0"/>
    </xf>
    <xf numFmtId="0" fontId="14" fillId="7" borderId="52" xfId="0" applyFont="1" applyFill="1" applyBorder="1" applyAlignment="1" applyProtection="1">
      <alignment horizontal="center" vertical="center"/>
      <protection locked="0"/>
    </xf>
    <xf numFmtId="0" fontId="14" fillId="7" borderId="55" xfId="0" applyFont="1" applyFill="1" applyBorder="1" applyAlignment="1" applyProtection="1">
      <alignment horizontal="center" vertical="center"/>
      <protection locked="0"/>
    </xf>
    <xf numFmtId="0" fontId="14" fillId="7" borderId="13" xfId="0" applyFont="1" applyFill="1" applyBorder="1" applyAlignment="1" applyProtection="1">
      <alignment horizontal="center" vertical="center"/>
      <protection locked="0"/>
    </xf>
    <xf numFmtId="0" fontId="2" fillId="2" borderId="30" xfId="0" applyFont="1" applyFill="1" applyBorder="1" applyAlignment="1" applyProtection="1">
      <alignment vertical="center"/>
      <protection locked="0"/>
    </xf>
    <xf numFmtId="0" fontId="7" fillId="6" borderId="2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vertical="center"/>
      <protection locked="0"/>
    </xf>
    <xf numFmtId="0" fontId="10" fillId="3" borderId="7" xfId="0" applyFont="1" applyFill="1" applyBorder="1" applyAlignment="1" applyProtection="1">
      <alignment horizontal="center" vertical="center"/>
      <protection locked="0"/>
    </xf>
    <xf numFmtId="0" fontId="11" fillId="7" borderId="59" xfId="0" applyFont="1" applyFill="1" applyBorder="1" applyAlignment="1" applyProtection="1">
      <alignment horizontal="center" vertical="center"/>
      <protection locked="0"/>
    </xf>
    <xf numFmtId="0" fontId="14" fillId="7" borderId="31" xfId="0" applyFont="1" applyFill="1" applyBorder="1" applyAlignment="1" applyProtection="1">
      <alignment horizontal="center" vertical="center"/>
      <protection locked="0"/>
    </xf>
    <xf numFmtId="3" fontId="14" fillId="7" borderId="31" xfId="0" applyNumberFormat="1" applyFont="1" applyFill="1" applyBorder="1" applyAlignment="1" applyProtection="1">
      <alignment horizontal="center" vertical="center"/>
      <protection locked="0"/>
    </xf>
    <xf numFmtId="166" fontId="11" fillId="7" borderId="62" xfId="0" applyNumberFormat="1" applyFont="1" applyFill="1" applyBorder="1" applyAlignment="1" applyProtection="1">
      <alignment horizontal="center" vertical="center"/>
      <protection locked="0"/>
    </xf>
    <xf numFmtId="166" fontId="11" fillId="7" borderId="66" xfId="0" applyNumberFormat="1" applyFont="1" applyFill="1" applyBorder="1" applyAlignment="1" applyProtection="1">
      <alignment horizontal="center" vertical="center"/>
      <protection locked="0"/>
    </xf>
    <xf numFmtId="166" fontId="7" fillId="6" borderId="2" xfId="0" applyNumberFormat="1" applyFont="1" applyFill="1" applyBorder="1" applyAlignment="1" applyProtection="1">
      <alignment horizontal="center" vertical="center"/>
      <protection locked="0"/>
    </xf>
    <xf numFmtId="0" fontId="7" fillId="3" borderId="4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0" fillId="10" borderId="75" xfId="0" applyFont="1" applyFill="1" applyBorder="1" applyAlignment="1" applyProtection="1">
      <alignment horizontal="center" vertical="center"/>
      <protection locked="0"/>
    </xf>
    <xf numFmtId="0" fontId="20" fillId="10" borderId="76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20" fillId="10" borderId="77" xfId="0" applyFont="1" applyFill="1" applyBorder="1" applyAlignment="1" applyProtection="1">
      <alignment horizontal="center" vertical="center"/>
      <protection locked="0"/>
    </xf>
    <xf numFmtId="0" fontId="20" fillId="10" borderId="78" xfId="0" applyFont="1" applyFill="1" applyBorder="1" applyAlignment="1" applyProtection="1">
      <alignment horizontal="center" vertical="center"/>
      <protection locked="0"/>
    </xf>
    <xf numFmtId="0" fontId="20" fillId="11" borderId="77" xfId="0" applyFont="1" applyFill="1" applyBorder="1" applyAlignment="1" applyProtection="1">
      <alignment horizontal="center"/>
      <protection locked="0"/>
    </xf>
    <xf numFmtId="0" fontId="23" fillId="11" borderId="0" xfId="0" applyFont="1" applyFill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0" borderId="0" xfId="0" applyFill="1" applyProtection="1">
      <protection locked="0"/>
    </xf>
    <xf numFmtId="0" fontId="20" fillId="11" borderId="78" xfId="0" applyFont="1" applyFill="1" applyBorder="1" applyAlignment="1" applyProtection="1">
      <alignment horizontal="center"/>
      <protection locked="0"/>
    </xf>
    <xf numFmtId="0" fontId="20" fillId="11" borderId="79" xfId="0" applyFont="1" applyFill="1" applyBorder="1" applyAlignment="1" applyProtection="1">
      <alignment horizontal="center"/>
      <protection locked="0"/>
    </xf>
    <xf numFmtId="0" fontId="23" fillId="11" borderId="80" xfId="0" applyFont="1" applyFill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0" borderId="80" xfId="0" applyFill="1" applyBorder="1" applyProtection="1">
      <protection locked="0"/>
    </xf>
    <xf numFmtId="0" fontId="20" fillId="11" borderId="81" xfId="0" applyFont="1" applyFill="1" applyBorder="1" applyAlignment="1" applyProtection="1">
      <alignment horizontal="center"/>
      <protection locked="0"/>
    </xf>
    <xf numFmtId="0" fontId="27" fillId="12" borderId="0" xfId="0" applyFont="1" applyFill="1" applyProtection="1">
      <protection locked="0"/>
    </xf>
    <xf numFmtId="0" fontId="7" fillId="3" borderId="8" xfId="0" applyFont="1" applyFill="1" applyBorder="1" applyAlignment="1" applyProtection="1">
      <alignment vertical="center"/>
      <protection locked="0"/>
    </xf>
    <xf numFmtId="0" fontId="7" fillId="3" borderId="10" xfId="0" applyFont="1" applyFill="1" applyBorder="1" applyAlignment="1" applyProtection="1">
      <alignment vertical="center"/>
      <protection locked="0"/>
    </xf>
    <xf numFmtId="0" fontId="7" fillId="3" borderId="59" xfId="0" applyFont="1" applyFill="1" applyBorder="1" applyAlignment="1" applyProtection="1">
      <alignment vertical="center"/>
      <protection locked="0"/>
    </xf>
    <xf numFmtId="0" fontId="11" fillId="5" borderId="85" xfId="0" applyFont="1" applyFill="1" applyBorder="1" applyAlignment="1" applyProtection="1">
      <alignment horizontal="center" vertical="center"/>
      <protection locked="0"/>
    </xf>
    <xf numFmtId="0" fontId="11" fillId="8" borderId="85" xfId="0" applyFont="1" applyFill="1" applyBorder="1" applyAlignment="1" applyProtection="1">
      <alignment horizontal="center" vertical="center"/>
      <protection locked="0"/>
    </xf>
    <xf numFmtId="0" fontId="11" fillId="5" borderId="86" xfId="0" applyFont="1" applyFill="1" applyBorder="1" applyAlignment="1" applyProtection="1">
      <alignment horizontal="center" vertical="center"/>
      <protection locked="0"/>
    </xf>
    <xf numFmtId="0" fontId="11" fillId="5" borderId="87" xfId="0" applyFont="1" applyFill="1" applyBorder="1" applyAlignment="1" applyProtection="1">
      <alignment horizontal="center" vertical="center"/>
      <protection locked="0"/>
    </xf>
    <xf numFmtId="0" fontId="2" fillId="3" borderId="28" xfId="0" applyFont="1" applyFill="1" applyBorder="1" applyAlignment="1" applyProtection="1">
      <alignment vertical="center"/>
      <protection locked="0"/>
    </xf>
    <xf numFmtId="0" fontId="11" fillId="8" borderId="7" xfId="0" applyFont="1" applyFill="1" applyBorder="1" applyAlignment="1" applyProtection="1">
      <alignment horizontal="center" vertical="center"/>
      <protection locked="0"/>
    </xf>
    <xf numFmtId="0" fontId="11" fillId="8" borderId="91" xfId="0" applyFont="1" applyFill="1" applyBorder="1" applyAlignment="1" applyProtection="1">
      <alignment horizontal="center" vertical="center"/>
      <protection locked="0"/>
    </xf>
    <xf numFmtId="0" fontId="11" fillId="2" borderId="88" xfId="0" applyFont="1" applyFill="1" applyBorder="1" applyAlignment="1" applyProtection="1">
      <alignment horizontal="center" vertical="center"/>
      <protection locked="0"/>
    </xf>
    <xf numFmtId="0" fontId="11" fillId="2" borderId="89" xfId="0" applyFont="1" applyFill="1" applyBorder="1" applyAlignment="1" applyProtection="1">
      <alignment horizontal="center" vertical="center"/>
      <protection locked="0"/>
    </xf>
    <xf numFmtId="0" fontId="11" fillId="2" borderId="9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7" fillId="5" borderId="25" xfId="0" applyFont="1" applyFill="1" applyBorder="1" applyAlignment="1" applyProtection="1">
      <alignment horizontal="center" vertical="center"/>
      <protection locked="0"/>
    </xf>
    <xf numFmtId="0" fontId="7" fillId="3" borderId="70" xfId="0" applyFont="1" applyFill="1" applyBorder="1" applyAlignment="1" applyProtection="1">
      <alignment horizontal="right" vertical="center"/>
      <protection locked="0"/>
    </xf>
    <xf numFmtId="0" fontId="7" fillId="3" borderId="71" xfId="0" applyFont="1" applyFill="1" applyBorder="1" applyAlignment="1" applyProtection="1">
      <alignment horizontal="right" vertical="center"/>
      <protection locked="0"/>
    </xf>
    <xf numFmtId="0" fontId="7" fillId="3" borderId="73" xfId="0" applyFont="1" applyFill="1" applyBorder="1" applyAlignment="1" applyProtection="1">
      <alignment horizontal="right" vertical="center"/>
      <protection locked="0"/>
    </xf>
    <xf numFmtId="0" fontId="7" fillId="3" borderId="74" xfId="0" applyFont="1" applyFill="1" applyBorder="1" applyAlignment="1" applyProtection="1">
      <alignment horizontal="right" vertical="center"/>
      <protection locked="0"/>
    </xf>
    <xf numFmtId="0" fontId="11" fillId="5" borderId="18" xfId="0" applyFont="1" applyFill="1" applyBorder="1" applyAlignment="1" applyProtection="1">
      <alignment horizontal="center" vertical="center"/>
      <protection locked="0"/>
    </xf>
    <xf numFmtId="0" fontId="11" fillId="5" borderId="0" xfId="0" applyFont="1" applyFill="1" applyAlignment="1" applyProtection="1">
      <alignment horizontal="center" vertical="center"/>
      <protection locked="0"/>
    </xf>
    <xf numFmtId="0" fontId="9" fillId="5" borderId="25" xfId="1" applyFont="1" applyFill="1" applyBorder="1" applyAlignment="1" applyProtection="1">
      <alignment horizontal="center" vertical="center"/>
      <protection locked="0"/>
    </xf>
    <xf numFmtId="0" fontId="4" fillId="4" borderId="0" xfId="0" applyFont="1" applyFill="1" applyAlignment="1" applyProtection="1">
      <alignment horizontal="center"/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7" fillId="3" borderId="67" xfId="0" applyFont="1" applyFill="1" applyBorder="1" applyAlignment="1" applyProtection="1">
      <alignment horizontal="right" vertical="center"/>
      <protection locked="0"/>
    </xf>
    <xf numFmtId="0" fontId="7" fillId="3" borderId="68" xfId="0" applyFont="1" applyFill="1" applyBorder="1" applyAlignment="1" applyProtection="1">
      <alignment horizontal="right" vertical="center"/>
      <protection locked="0"/>
    </xf>
    <xf numFmtId="0" fontId="7" fillId="5" borderId="82" xfId="0" applyFont="1" applyFill="1" applyBorder="1" applyAlignment="1" applyProtection="1">
      <alignment horizontal="center" vertical="center"/>
      <protection locked="0"/>
    </xf>
    <xf numFmtId="14" fontId="7" fillId="6" borderId="25" xfId="0" applyNumberFormat="1" applyFont="1" applyFill="1" applyBorder="1" applyAlignment="1" applyProtection="1">
      <alignment horizontal="center" vertical="center"/>
      <protection locked="0"/>
    </xf>
    <xf numFmtId="0" fontId="2" fillId="3" borderId="25" xfId="0" applyFont="1" applyFill="1" applyBorder="1" applyAlignment="1" applyProtection="1">
      <alignment horizontal="center" vertical="center"/>
      <protection locked="0"/>
    </xf>
    <xf numFmtId="0" fontId="1" fillId="5" borderId="25" xfId="1" applyFont="1" applyFill="1" applyBorder="1" applyAlignment="1" applyProtection="1">
      <alignment horizontal="center" vertical="center"/>
      <protection locked="0"/>
    </xf>
    <xf numFmtId="0" fontId="9" fillId="5" borderId="82" xfId="1" applyFont="1" applyFill="1" applyBorder="1" applyAlignment="1" applyProtection="1">
      <alignment horizontal="center" vertical="center"/>
      <protection locked="0"/>
    </xf>
    <xf numFmtId="3" fontId="7" fillId="5" borderId="25" xfId="0" applyNumberFormat="1" applyFont="1" applyFill="1" applyBorder="1" applyAlignment="1" applyProtection="1">
      <alignment horizontal="center" vertical="center"/>
      <protection locked="0"/>
    </xf>
    <xf numFmtId="0" fontId="22" fillId="5" borderId="0" xfId="0" applyFont="1" applyFill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/>
      <protection locked="0"/>
    </xf>
    <xf numFmtId="0" fontId="21" fillId="10" borderId="76" xfId="0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microsoft.com/office/2022/11/relationships/FeaturePropertyBag" Target="featurePropertyBag/featurePropertyBag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613832</xdr:colOff>
      <xdr:row>1</xdr:row>
      <xdr:rowOff>158751</xdr:rowOff>
    </xdr:from>
    <xdr:to>
      <xdr:col>3</xdr:col>
      <xdr:colOff>1394904</xdr:colOff>
      <xdr:row>3</xdr:row>
      <xdr:rowOff>137583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11F825-0423-4A89-A700-E8F827D15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982" y="282576"/>
          <a:ext cx="4625997" cy="85089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87b5aab0fd4c0078/Madison%20Energy%20Group/Blueprints%202026/.Madison%20Advanced%20Blueprint%20Master1.xlsx" TargetMode="External"/><Relationship Id="rId2" Type="http://schemas.openxmlformats.org/officeDocument/2006/relationships/externalLinkPath" Target="https://d.docs.live.net/87b5aab0fd4c0078/Madison%20Energy%20Group/Blueprints%202026/.Madison%20Advanced%20Blueprint%20Master1.xlsx" TargetMode="External"/><Relationship Id="rId1" Type="http://schemas.openxmlformats.org/officeDocument/2006/relationships/externalLinkPath" Target="/87b5aab0fd4c0078/Madison%20Energy%20Group/Blueprints%202026/.Madison%20Advanced%20Blueprint%20Master1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87b5aab0fd4c0078/Madison%20Energy%20Group/Blueprints%202026/.Madison%20Advanced%20Blueprint%20Master%20NEW.xlsx" TargetMode="External"/><Relationship Id="rId2" Type="http://schemas.openxmlformats.org/officeDocument/2006/relationships/externalLinkPath" Target="https://d.docs.live.net/87b5aab0fd4c0078/Madison%20Energy%20Group/Blueprints%202026/.Madison%20Advanced%20Blueprint%20Master%20NEW.xlsx" TargetMode="External"/><Relationship Id="rId1" Type="http://schemas.openxmlformats.org/officeDocument/2006/relationships/externalLinkPath" Target="/87b5aab0fd4c0078/Madison%20Energy%20Group/Blueprints%202026/.Madison%20Advanced%20Blueprint%20Master%20NEW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7b5aab0fd4c0078/Madison%20Energy%20Group/Blueprints%202026/Project%20Submission%206.0.xlsx" TargetMode="External"/><Relationship Id="rId1" Type="http://schemas.openxmlformats.org/officeDocument/2006/relationships/externalLinkPath" Target="file:///C:\Users\justi\Downloads\Project%20Submission%206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ources &amp; Methodology"/>
      <sheetName val="Source Library"/>
      <sheetName val="All Programs – Master"/>
      <sheetName val="Energy Efficiency Programs"/>
      <sheetName val="Building Tune-Up"/>
      <sheetName val="System Replacement"/>
      <sheetName val="T1 Advisor Commission Report"/>
      <sheetName val="T2 Advisor Commission Report"/>
      <sheetName val="Impact Partner Commission"/>
      <sheetName val="Strategic Partner Commission"/>
      <sheetName val="Executive Commission Report"/>
      <sheetName val="PoC"/>
      <sheetName val="CS-SOWI"/>
      <sheetName val="HVAC-SOWI"/>
      <sheetName val="Monitor-SOWI"/>
      <sheetName val="Work Order"/>
      <sheetName val="All-SOWI"/>
      <sheetName val="SOW Doc"/>
      <sheetName val="SOWR"/>
      <sheetName val="Advisor Comp Table"/>
      <sheetName val="Tables"/>
      <sheetName val="CS Load % by Bldg &amp; CZ"/>
      <sheetName val="Lookup Table (2)"/>
      <sheetName val="HVAC Load % by Building &amp; CZ"/>
      <sheetName val="Lookup Table"/>
      <sheetName val="Equipment Specs"/>
      <sheetName val="Project Work Order"/>
      <sheetName val="Retail Order Form"/>
      <sheetName val="Madison Economics"/>
      <sheetName val="Panels"/>
      <sheetName val="Input Form"/>
      <sheetName val="Project Spec"/>
      <sheetName val="Usage &amp; Savings"/>
      <sheetName val="Product ROI Summary"/>
      <sheetName val="Dashboard"/>
      <sheetName val="Impact Charts"/>
      <sheetName val="Sales Tax Table"/>
      <sheetName val="HVAC — All Buildings"/>
      <sheetName val="Cold Storage — All Buildings"/>
      <sheetName val="Source Data"/>
      <sheetName val="Seasonal Multipliers"/>
      <sheetName val="Monthly Lookup"/>
      <sheetName val="U&amp;E Table"/>
      <sheetName val="U&amp;E Data"/>
      <sheetName val="Finance v2"/>
      <sheetName val="MACRS"/>
      <sheetName val="HVAC Performance"/>
      <sheetName val="CS Performance"/>
      <sheetName val="Enhanced Building Performance"/>
      <sheetName val="Blueprint"/>
      <sheetName val="IntelliHVAC Calculator"/>
      <sheetName val="IntelliACC Calculator"/>
      <sheetName val="ACC CZData"/>
      <sheetName val="SynCat360 Calculator"/>
      <sheetName val="SynCat ClimateData"/>
      <sheetName val="Atmos-Eco3"/>
      <sheetName val="Atmos-ESM4"/>
      <sheetName val="Verdant VX4 Calculator"/>
      <sheetName val="EnerG2 Calculator"/>
      <sheetName val="Motor Reference"/>
      <sheetName val="ECMTEK EC Motor Calculator"/>
      <sheetName val="SynCat360 Cold Storage"/>
      <sheetName val="SynCat-CS Methodology"/>
      <sheetName val="ASHDC Calculator"/>
      <sheetName val="NanoTech"/>
      <sheetName val="NanoFilm"/>
      <sheetName val="AquaFlow Calculator"/>
      <sheetName val="Nano-CZData"/>
      <sheetName val="_WindowSizes"/>
      <sheetName val="White Paper — Extended"/>
      <sheetName val="Revision Log"/>
    </sheetNames>
    <sheetDataSet>
      <sheetData sheetId="0">
        <row r="273">
          <cell r="D273">
            <v>0.85499999999999998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ources &amp; Methodology"/>
      <sheetName val="All Programs – Master"/>
      <sheetName val="Energy Efficiency Programs"/>
      <sheetName val="Building Tune-Up"/>
      <sheetName val="System Replacement"/>
      <sheetName val="T1 Advisor Commission Report"/>
      <sheetName val="T2 Advisor Commission Report"/>
      <sheetName val="Impact Partner Commission"/>
      <sheetName val="Strategic Partner Commission"/>
      <sheetName val="Executive Commission Report"/>
      <sheetName val="PoC"/>
      <sheetName val="CS-SOWI"/>
      <sheetName val="HVAC-SOWI"/>
      <sheetName val="Monitor-SOWI"/>
      <sheetName val="Work Order"/>
      <sheetName val="All-SOWI"/>
      <sheetName val="SOW Doc"/>
      <sheetName val="SOWR"/>
      <sheetName val="Advisor Comp Table"/>
      <sheetName val="Tables"/>
      <sheetName val="CS Load % by Bldg &amp; CZ"/>
      <sheetName val="Lookup Table (2)"/>
      <sheetName val="HVAC Load % by Building &amp; CZ"/>
      <sheetName val="Lookup Table"/>
      <sheetName val="Equipment Specs"/>
      <sheetName val="Project Work Order"/>
      <sheetName val="Retail Order Form"/>
      <sheetName val="Madison Economics"/>
      <sheetName val="Input Form"/>
      <sheetName val="Project Spec"/>
      <sheetName val="Usage &amp; Savings"/>
      <sheetName val="Dashboard"/>
      <sheetName val="Sales Tax Table"/>
      <sheetName val="HVAC — All Buildings"/>
      <sheetName val="Cold Storage — All Buildings"/>
      <sheetName val="Source Data"/>
      <sheetName val="Seasonal Multipliers"/>
      <sheetName val="Monthly Lookup"/>
      <sheetName val="U&amp;E Table"/>
      <sheetName val="U&amp;E Data"/>
      <sheetName val="Finance v2"/>
      <sheetName val="MACRS"/>
      <sheetName val="HVAC Performance"/>
      <sheetName val="CS Performance"/>
      <sheetName val="Enhanced Building Performance"/>
      <sheetName val="Blueprint"/>
      <sheetName val="179D Rate Reference"/>
      <sheetName val="IntelliHVAC Calculator"/>
      <sheetName val="IntelliACC Calculator"/>
      <sheetName val="ACC CZData"/>
      <sheetName val="SynCat360 Calculator"/>
      <sheetName val="SynCat ClimateData"/>
      <sheetName val="Atmos-Eco3"/>
      <sheetName val="Atmos-ESM4"/>
      <sheetName val="Verdant VX4 Calculator"/>
      <sheetName val="EnerG2 Calculator"/>
      <sheetName val="Motor Reference"/>
      <sheetName val="ECMTEK EC Motor Calculator"/>
      <sheetName val="SynCat360 Cold Storage"/>
      <sheetName val="SynCat-CS Methodology"/>
      <sheetName val="ASHDC Calculator"/>
      <sheetName val="NanoTech"/>
      <sheetName val="NanoFilm"/>
      <sheetName val="Nano-CZData"/>
      <sheetName val="_WindowSizes"/>
      <sheetName val="White Paper — Extended"/>
    </sheetNames>
    <sheetDataSet>
      <sheetData sheetId="0" refreshError="1"/>
      <sheetData sheetId="1" refreshError="1"/>
      <sheetData sheetId="2">
        <row r="3">
          <cell r="P3" t="str">
            <v>Florida Power &amp; Light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tility Companies"/>
      <sheetName val="Submission"/>
      <sheetName val="Panels"/>
      <sheetName val="Utilities"/>
    </sheetNames>
    <sheetDataSet>
      <sheetData sheetId="0" refreshError="1"/>
      <sheetData sheetId="1"/>
      <sheetData sheetId="2" refreshError="1"/>
      <sheetData sheetId="3">
        <row r="1">
          <cell r="A1" t="str">
            <v>Alabama</v>
          </cell>
          <cell r="B1" t="str">
            <v>Alaska</v>
          </cell>
          <cell r="C1" t="str">
            <v>Arizona</v>
          </cell>
          <cell r="D1" t="str">
            <v>Arkansas</v>
          </cell>
          <cell r="E1" t="str">
            <v>California</v>
          </cell>
          <cell r="F1" t="str">
            <v>Colorado</v>
          </cell>
          <cell r="G1" t="str">
            <v>Connecticut</v>
          </cell>
          <cell r="H1" t="str">
            <v>Delaware</v>
          </cell>
          <cell r="I1" t="str">
            <v>District of Columbia</v>
          </cell>
          <cell r="J1" t="str">
            <v>Florida</v>
          </cell>
          <cell r="K1" t="str">
            <v>Georgia</v>
          </cell>
          <cell r="L1" t="str">
            <v>Hawaii</v>
          </cell>
          <cell r="M1" t="str">
            <v>Idaho</v>
          </cell>
          <cell r="N1" t="str">
            <v>Illinois</v>
          </cell>
          <cell r="O1" t="str">
            <v>Indiana</v>
          </cell>
          <cell r="P1" t="str">
            <v>Iowa</v>
          </cell>
          <cell r="Q1" t="str">
            <v>Kansas</v>
          </cell>
          <cell r="R1" t="str">
            <v>Kentucky</v>
          </cell>
          <cell r="S1" t="str">
            <v>Louisiana</v>
          </cell>
          <cell r="T1" t="str">
            <v>Maine</v>
          </cell>
          <cell r="U1" t="str">
            <v>Maryland</v>
          </cell>
          <cell r="V1" t="str">
            <v>Massachusetts</v>
          </cell>
          <cell r="W1" t="str">
            <v>Michigan</v>
          </cell>
          <cell r="X1" t="str">
            <v>Minnesota</v>
          </cell>
          <cell r="Y1" t="str">
            <v>Mississippi</v>
          </cell>
          <cell r="Z1" t="str">
            <v>Missouri</v>
          </cell>
          <cell r="AA1" t="str">
            <v>Montana</v>
          </cell>
          <cell r="AB1" t="str">
            <v>Nebraska</v>
          </cell>
          <cell r="AC1" t="str">
            <v>Nevada</v>
          </cell>
          <cell r="AD1" t="str">
            <v>New Hampshire</v>
          </cell>
          <cell r="AE1" t="str">
            <v>New Jersey</v>
          </cell>
          <cell r="AF1" t="str">
            <v>New Mexico</v>
          </cell>
          <cell r="AG1" t="str">
            <v>New York</v>
          </cell>
          <cell r="AH1" t="str">
            <v>North Carolina</v>
          </cell>
          <cell r="AI1" t="str">
            <v>North Dakota</v>
          </cell>
          <cell r="AJ1" t="str">
            <v>Ohio</v>
          </cell>
          <cell r="AK1" t="str">
            <v>Oklahoma</v>
          </cell>
          <cell r="AL1" t="str">
            <v>Oregon</v>
          </cell>
          <cell r="AM1" t="str">
            <v>Pennsylvania</v>
          </cell>
          <cell r="AN1" t="str">
            <v>Puerto Rico</v>
          </cell>
          <cell r="AO1" t="str">
            <v>Rhode Island</v>
          </cell>
          <cell r="AP1" t="str">
            <v>South Carolina</v>
          </cell>
          <cell r="AQ1" t="str">
            <v>South Dakota</v>
          </cell>
          <cell r="AR1" t="str">
            <v>Tennessee</v>
          </cell>
          <cell r="AS1" t="str">
            <v>Texas</v>
          </cell>
          <cell r="AT1" t="str">
            <v>Utah</v>
          </cell>
          <cell r="AU1" t="str">
            <v>Vermont</v>
          </cell>
          <cell r="AV1" t="str">
            <v>Virginia</v>
          </cell>
          <cell r="AW1" t="str">
            <v>Washington</v>
          </cell>
          <cell r="AX1" t="str">
            <v>West Virginia</v>
          </cell>
          <cell r="AY1" t="str">
            <v>Wisconsin</v>
          </cell>
          <cell r="AZ1" t="str">
            <v>Wyoming</v>
          </cell>
        </row>
        <row r="2">
          <cell r="A2" t="str">
            <v>Not Found</v>
          </cell>
        </row>
        <row r="3">
          <cell r="A3" t="str">
            <v>Alabama Power</v>
          </cell>
        </row>
        <row r="4">
          <cell r="A4" t="str">
            <v>Huntsville Utilities</v>
          </cell>
        </row>
        <row r="5">
          <cell r="A5" t="str">
            <v>PowerSouth Energy</v>
          </cell>
        </row>
        <row r="6">
          <cell r="A6" t="str">
            <v>TVA</v>
          </cell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010F9D6-ACBC-4E7A-BF4C-723342B19BE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39943e8-847f-43e9-b3c7-e217a1307dd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6D44F-A4F5-4A5E-A193-D0F99493A83D}">
  <sheetPr>
    <tabColor theme="5" tint="-0.499984740745262"/>
  </sheetPr>
  <dimension ref="A1:R251"/>
  <sheetViews>
    <sheetView showGridLines="0" tabSelected="1" zoomScale="90" zoomScaleNormal="90" workbookViewId="0">
      <selection activeCell="B48" sqref="B48:C48"/>
    </sheetView>
  </sheetViews>
  <sheetFormatPr defaultColWidth="9.109375" defaultRowHeight="13.8" x14ac:dyDescent="0.3"/>
  <cols>
    <col min="1" max="1" width="0.88671875" style="42" customWidth="1"/>
    <col min="2" max="2" width="34.33203125" style="42" customWidth="1"/>
    <col min="3" max="3" width="23.33203125" style="42" customWidth="1"/>
    <col min="4" max="4" width="24.88671875" style="42" customWidth="1"/>
    <col min="5" max="6" width="24.6640625" style="42" customWidth="1"/>
    <col min="7" max="7" width="24.88671875" style="42" customWidth="1"/>
    <col min="8" max="8" width="24.6640625" style="42" customWidth="1"/>
    <col min="9" max="9" width="26.44140625" style="42" customWidth="1"/>
    <col min="10" max="11" width="24.88671875" style="42" customWidth="1"/>
    <col min="12" max="12" width="24.5546875" style="42" customWidth="1"/>
    <col min="13" max="13" width="19" style="42" customWidth="1"/>
    <col min="14" max="15" width="13.33203125" style="42" customWidth="1"/>
    <col min="16" max="16" width="26.5546875" style="42" customWidth="1"/>
    <col min="17" max="17" width="19" style="42" customWidth="1"/>
    <col min="18" max="18" width="15.33203125" style="42" customWidth="1"/>
    <col min="19" max="16384" width="9.109375" style="42"/>
  </cols>
  <sheetData>
    <row r="1" spans="1:18" ht="9.9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3"/>
      <c r="N1" s="3"/>
      <c r="O1" s="3"/>
      <c r="P1" s="3"/>
      <c r="Q1" s="3"/>
      <c r="R1" s="3"/>
    </row>
    <row r="2" spans="1:18" ht="42" customHeight="1" x14ac:dyDescent="0.3">
      <c r="A2" s="1"/>
      <c r="B2" s="1"/>
      <c r="C2" s="1"/>
      <c r="D2" s="1"/>
      <c r="E2" s="1"/>
      <c r="F2" s="1"/>
      <c r="G2" s="1"/>
      <c r="H2" s="1"/>
      <c r="I2" s="2"/>
      <c r="J2" s="1"/>
      <c r="K2" s="1"/>
      <c r="L2" s="1"/>
      <c r="M2" s="3"/>
      <c r="N2" s="3"/>
      <c r="O2" s="3"/>
      <c r="P2" s="3"/>
      <c r="Q2" s="3"/>
      <c r="R2" s="3"/>
    </row>
    <row r="3" spans="1:18" ht="26.25" customHeight="1" x14ac:dyDescent="0.3">
      <c r="A3" s="1"/>
      <c r="B3" s="1"/>
      <c r="C3" s="1"/>
      <c r="D3" s="1"/>
      <c r="E3" s="1"/>
      <c r="F3" s="1"/>
      <c r="G3" s="1"/>
      <c r="H3" s="2"/>
      <c r="I3" s="2"/>
      <c r="J3" s="1"/>
      <c r="K3" s="1"/>
      <c r="L3" s="1"/>
      <c r="M3" s="3"/>
      <c r="N3" s="3"/>
      <c r="O3" s="3"/>
      <c r="P3" s="3"/>
      <c r="Q3" s="3"/>
      <c r="R3" s="3"/>
    </row>
    <row r="4" spans="1:18" ht="27.9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3"/>
      <c r="N4" s="3"/>
      <c r="O4" s="3"/>
      <c r="P4" s="3"/>
      <c r="Q4" s="3"/>
      <c r="R4" s="3"/>
    </row>
    <row r="5" spans="1:18" ht="27.9" customHeight="1" x14ac:dyDescent="0.3">
      <c r="A5" s="1"/>
      <c r="B5" s="1"/>
      <c r="C5" s="1"/>
      <c r="D5" s="1"/>
      <c r="E5" s="1"/>
      <c r="F5" s="1"/>
      <c r="G5" s="1"/>
      <c r="H5" s="1"/>
      <c r="I5" s="2" t="s">
        <v>0</v>
      </c>
      <c r="J5" s="1"/>
      <c r="K5" s="1"/>
      <c r="L5" s="1"/>
      <c r="M5" s="3"/>
      <c r="N5" s="3"/>
      <c r="O5" s="3"/>
      <c r="P5" s="3"/>
      <c r="Q5" s="3"/>
      <c r="R5" s="3"/>
    </row>
    <row r="6" spans="1:18" ht="27.9" customHeight="1" x14ac:dyDescent="0.3">
      <c r="A6" s="1"/>
      <c r="B6" s="43" t="s">
        <v>153</v>
      </c>
      <c r="C6" s="204" t="s">
        <v>154</v>
      </c>
      <c r="D6" s="204"/>
      <c r="E6" s="204"/>
      <c r="F6" s="204"/>
      <c r="G6" s="204"/>
      <c r="H6" s="204"/>
      <c r="I6" s="204"/>
      <c r="J6" s="204"/>
      <c r="K6" s="204"/>
      <c r="L6" s="204"/>
      <c r="M6" s="3"/>
      <c r="N6" s="3"/>
      <c r="O6" s="3"/>
      <c r="P6" s="3"/>
      <c r="Q6" s="3"/>
      <c r="R6" s="3"/>
    </row>
    <row r="7" spans="1:18" ht="27.9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3"/>
      <c r="N7" s="3"/>
      <c r="O7" s="3"/>
      <c r="P7" s="3"/>
      <c r="Q7" s="3"/>
      <c r="R7" s="3"/>
    </row>
    <row r="8" spans="1:18" ht="24" customHeight="1" thickBot="1" x14ac:dyDescent="0.35">
      <c r="A8" s="1"/>
      <c r="B8" s="214" t="s">
        <v>1</v>
      </c>
      <c r="C8" s="214"/>
      <c r="D8" s="44"/>
      <c r="E8" s="44"/>
      <c r="F8" s="44"/>
      <c r="G8" s="44"/>
      <c r="H8" s="44"/>
      <c r="I8" s="44"/>
      <c r="J8" s="44"/>
      <c r="K8" s="44"/>
      <c r="L8" s="44"/>
      <c r="M8" s="3"/>
      <c r="N8" s="3"/>
      <c r="O8" s="3"/>
      <c r="P8" s="3"/>
      <c r="Q8" s="3"/>
      <c r="R8" s="3"/>
    </row>
    <row r="9" spans="1:18" ht="14.1" customHeight="1" x14ac:dyDescent="0.3">
      <c r="A9" s="1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ht="21.9" customHeight="1" x14ac:dyDescent="0.3">
      <c r="A10" s="1"/>
      <c r="B10" s="45" t="s">
        <v>2</v>
      </c>
      <c r="C10" s="205"/>
      <c r="D10" s="205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ht="21.9" customHeight="1" x14ac:dyDescent="0.3">
      <c r="A11" s="1"/>
      <c r="B11" s="45" t="s">
        <v>3</v>
      </c>
      <c r="C11" s="205"/>
      <c r="D11" s="205"/>
      <c r="E11" s="3"/>
      <c r="F11" s="3"/>
      <c r="G11" s="45" t="s">
        <v>4</v>
      </c>
      <c r="H11" s="218">
        <f ca="1">TODAY()</f>
        <v>46274</v>
      </c>
      <c r="I11" s="218"/>
      <c r="J11" s="3"/>
      <c r="K11" s="3"/>
      <c r="L11" s="3"/>
      <c r="M11" s="3"/>
      <c r="N11" s="3"/>
      <c r="O11" s="3"/>
      <c r="P11" s="3"/>
      <c r="Q11" s="3"/>
      <c r="R11" s="3"/>
    </row>
    <row r="12" spans="1:18" ht="21.9" customHeight="1" x14ac:dyDescent="0.3">
      <c r="A12" s="1"/>
      <c r="B12" s="45" t="s">
        <v>5</v>
      </c>
      <c r="C12" s="205"/>
      <c r="D12" s="205"/>
      <c r="E12" s="3"/>
      <c r="F12" s="3"/>
      <c r="G12" s="3"/>
      <c r="H12" s="219"/>
      <c r="I12" s="219"/>
      <c r="J12" s="3"/>
      <c r="K12" s="3"/>
      <c r="L12" s="3"/>
      <c r="M12" s="3"/>
      <c r="N12" s="3"/>
      <c r="O12" s="3"/>
      <c r="P12" s="3"/>
      <c r="Q12" s="3"/>
      <c r="R12" s="3"/>
    </row>
    <row r="13" spans="1:18" ht="21.9" customHeight="1" x14ac:dyDescent="0.3">
      <c r="A13" s="1"/>
      <c r="B13" s="45" t="s">
        <v>6</v>
      </c>
      <c r="C13" s="205"/>
      <c r="D13" s="205"/>
      <c r="E13" s="3"/>
      <c r="F13" s="3"/>
      <c r="G13" s="45" t="s">
        <v>7</v>
      </c>
      <c r="H13" s="205"/>
      <c r="I13" s="205"/>
      <c r="J13" s="3"/>
      <c r="K13" s="3"/>
      <c r="L13" s="3"/>
      <c r="M13" s="3"/>
      <c r="N13" s="3"/>
      <c r="O13" s="3"/>
      <c r="P13" s="3"/>
      <c r="Q13" s="3"/>
      <c r="R13" s="3"/>
    </row>
    <row r="14" spans="1:18" ht="21.9" customHeight="1" x14ac:dyDescent="0.25">
      <c r="A14" s="1"/>
      <c r="B14" s="45" t="s">
        <v>8</v>
      </c>
      <c r="C14" s="205"/>
      <c r="D14" s="205"/>
      <c r="E14" s="129" t="s">
        <v>152</v>
      </c>
      <c r="F14" s="3"/>
      <c r="G14" s="45" t="s">
        <v>9</v>
      </c>
      <c r="H14" s="220"/>
      <c r="I14" s="220"/>
      <c r="J14" s="3"/>
      <c r="K14" s="3"/>
      <c r="L14" s="3"/>
      <c r="M14" s="3"/>
      <c r="N14" s="3"/>
      <c r="O14" s="3"/>
      <c r="P14" s="3"/>
      <c r="Q14" s="3"/>
      <c r="R14" s="3"/>
    </row>
    <row r="15" spans="1:18" ht="21.9" customHeight="1" x14ac:dyDescent="0.25">
      <c r="A15" s="1"/>
      <c r="B15" s="45" t="s">
        <v>10</v>
      </c>
      <c r="C15" s="205"/>
      <c r="D15" s="205"/>
      <c r="E15" s="129" t="s">
        <v>152</v>
      </c>
      <c r="F15" s="3"/>
      <c r="G15" s="45" t="s">
        <v>11</v>
      </c>
      <c r="H15" s="205"/>
      <c r="I15" s="205"/>
      <c r="J15" s="3"/>
      <c r="K15" s="3"/>
      <c r="L15" s="3"/>
      <c r="M15" s="3"/>
      <c r="N15" s="3"/>
      <c r="O15" s="3"/>
      <c r="P15" s="3"/>
      <c r="Q15" s="3"/>
      <c r="R15" s="3"/>
    </row>
    <row r="16" spans="1:18" ht="21.9" customHeight="1" x14ac:dyDescent="0.25">
      <c r="A16" s="1"/>
      <c r="B16" s="45" t="s">
        <v>12</v>
      </c>
      <c r="C16" s="205"/>
      <c r="D16" s="205"/>
      <c r="E16" s="129" t="s">
        <v>152</v>
      </c>
      <c r="F16" s="3"/>
      <c r="G16" s="3"/>
      <c r="H16" s="41"/>
      <c r="I16" s="41"/>
      <c r="J16" s="3"/>
      <c r="K16" s="3"/>
      <c r="L16" s="3"/>
      <c r="M16" s="3"/>
      <c r="N16" s="3"/>
      <c r="O16" s="3"/>
      <c r="P16" s="3"/>
      <c r="Q16" s="3"/>
      <c r="R16" s="3"/>
    </row>
    <row r="17" spans="1:18" ht="21.9" customHeight="1" x14ac:dyDescent="0.3">
      <c r="A17" s="1"/>
      <c r="B17" s="45" t="s">
        <v>13</v>
      </c>
      <c r="C17" s="222"/>
      <c r="D17" s="222"/>
      <c r="E17" s="3"/>
      <c r="F17" s="3"/>
      <c r="G17" s="46" t="s">
        <v>14</v>
      </c>
      <c r="H17" s="205"/>
      <c r="I17" s="205"/>
      <c r="J17" s="3"/>
      <c r="K17" s="3"/>
      <c r="L17" s="3"/>
      <c r="M17" s="3"/>
      <c r="N17" s="3"/>
      <c r="O17" s="3"/>
      <c r="P17" s="3"/>
      <c r="Q17" s="3"/>
      <c r="R17" s="3"/>
    </row>
    <row r="18" spans="1:18" ht="21.9" customHeight="1" x14ac:dyDescent="0.3">
      <c r="A18" s="1"/>
      <c r="B18" s="45" t="s">
        <v>150</v>
      </c>
      <c r="C18" s="47" t="s">
        <v>151</v>
      </c>
      <c r="D18" s="47" t="s">
        <v>151</v>
      </c>
      <c r="E18" s="3"/>
      <c r="F18" s="3"/>
      <c r="G18" s="3"/>
      <c r="H18" s="41"/>
      <c r="I18" s="41"/>
      <c r="J18" s="3"/>
      <c r="K18" s="3"/>
      <c r="L18" s="3"/>
      <c r="M18" s="3"/>
      <c r="N18" s="3"/>
      <c r="O18" s="3"/>
      <c r="P18" s="3"/>
      <c r="Q18" s="3"/>
      <c r="R18" s="3"/>
    </row>
    <row r="19" spans="1:18" ht="21.75" customHeight="1" x14ac:dyDescent="0.3">
      <c r="A19" s="1"/>
      <c r="B19" s="45"/>
      <c r="C19" s="139"/>
      <c r="D19" s="140"/>
      <c r="E19" s="3"/>
      <c r="F19" s="3"/>
      <c r="G19" s="46" t="s">
        <v>15</v>
      </c>
      <c r="H19" s="205"/>
      <c r="I19" s="205"/>
      <c r="J19" s="3"/>
      <c r="K19" s="3"/>
      <c r="L19" s="3"/>
      <c r="M19" s="3"/>
      <c r="N19" s="3"/>
      <c r="O19" s="3"/>
      <c r="P19" s="3"/>
      <c r="Q19" s="3"/>
      <c r="R19" s="3"/>
    </row>
    <row r="20" spans="1:18" ht="20.100000000000001" customHeight="1" x14ac:dyDescent="0.3">
      <c r="A20" s="3"/>
      <c r="B20" s="45"/>
      <c r="C20" s="3"/>
      <c r="D20" s="3"/>
      <c r="E20" s="3"/>
      <c r="F20" s="3"/>
      <c r="G20" s="46" t="s">
        <v>16</v>
      </c>
      <c r="H20" s="221"/>
      <c r="I20" s="221"/>
      <c r="J20" s="3"/>
      <c r="K20" s="3"/>
      <c r="L20" s="3"/>
      <c r="M20" s="3"/>
      <c r="N20" s="3"/>
      <c r="O20" s="3"/>
      <c r="P20" s="3"/>
      <c r="Q20" s="3"/>
      <c r="R20" s="3"/>
    </row>
    <row r="21" spans="1:18" ht="21.75" customHeight="1" x14ac:dyDescent="0.3">
      <c r="A21" s="1"/>
      <c r="B21" s="4" t="str">
        <f>"Effective weekly hours: "&amp;IF(C19*D19&gt;0,TEXT(C19*D19,"0")&amp;" (site schedule)","61 (CBECS default — enter hours/day AND days/week to override)")</f>
        <v>Effective weekly hours: 61 (CBECS default — enter hours/day AND days/week to override)</v>
      </c>
      <c r="C21" s="3"/>
      <c r="D21" s="3"/>
      <c r="E21" s="3"/>
      <c r="F21" s="3"/>
      <c r="G21" s="46" t="s">
        <v>17</v>
      </c>
      <c r="H21" s="217"/>
      <c r="I21" s="217"/>
      <c r="J21" s="3"/>
      <c r="K21" s="3"/>
      <c r="L21" s="3"/>
      <c r="M21" s="3"/>
      <c r="N21" s="3"/>
      <c r="O21" s="3"/>
      <c r="P21" s="3"/>
      <c r="Q21" s="3"/>
      <c r="R21" s="3"/>
    </row>
    <row r="22" spans="1:18" ht="21.9" customHeight="1" x14ac:dyDescent="0.3">
      <c r="A22" s="1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ht="21.9" customHeight="1" thickBot="1" x14ac:dyDescent="0.35">
      <c r="A23" s="1"/>
      <c r="B23" s="5" t="s">
        <v>18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3"/>
      <c r="N23" s="3"/>
      <c r="O23" s="3"/>
      <c r="P23" s="3"/>
      <c r="Q23" s="3"/>
      <c r="R23" s="3"/>
    </row>
    <row r="24" spans="1:18" ht="13.5" customHeight="1" x14ac:dyDescent="0.3">
      <c r="A24" s="3"/>
      <c r="B24" s="3"/>
      <c r="C24" s="3"/>
      <c r="D24" s="3"/>
      <c r="E24" s="3" t="s">
        <v>149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.9" customHeight="1" x14ac:dyDescent="0.3">
      <c r="A25" s="1"/>
      <c r="B25" s="45" t="s">
        <v>19</v>
      </c>
      <c r="C25" s="205"/>
      <c r="D25" s="205"/>
      <c r="E25" s="37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.75" customHeight="1" x14ac:dyDescent="0.3">
      <c r="A26" s="1"/>
      <c r="B26" s="45" t="s">
        <v>20</v>
      </c>
      <c r="C26" s="212"/>
      <c r="D26" s="212"/>
      <c r="E26" s="3"/>
      <c r="F26" s="3"/>
      <c r="G26" s="3"/>
      <c r="H26" s="3" t="s">
        <v>21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2.5" customHeight="1" x14ac:dyDescent="0.3">
      <c r="A27" s="1"/>
      <c r="B27" s="45" t="s">
        <v>22</v>
      </c>
      <c r="C27" s="205"/>
      <c r="D27" s="205"/>
      <c r="E27" s="3"/>
      <c r="F27" s="3"/>
      <c r="G27" s="3"/>
      <c r="H27" s="3"/>
      <c r="I27" s="3"/>
      <c r="J27" s="3"/>
      <c r="K27" s="46" t="s">
        <v>23</v>
      </c>
      <c r="L27" s="141">
        <f>IFERROR(L45/K45, 0)</f>
        <v>0</v>
      </c>
      <c r="M27" s="3"/>
      <c r="N27" s="3"/>
      <c r="O27" s="3"/>
      <c r="P27" s="3"/>
      <c r="Q27" s="3"/>
      <c r="R27" s="3"/>
    </row>
    <row r="28" spans="1:18" ht="22.5" customHeight="1" x14ac:dyDescent="0.3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2.5" customHeight="1" x14ac:dyDescent="0.3">
      <c r="A29" s="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.9" customHeight="1" thickBot="1" x14ac:dyDescent="0.35">
      <c r="A30" s="1"/>
      <c r="B30" s="214" t="s">
        <v>24</v>
      </c>
      <c r="C30" s="214"/>
      <c r="D30" s="3"/>
      <c r="E30" s="214" t="s">
        <v>25</v>
      </c>
      <c r="F30" s="214"/>
      <c r="G30" s="48"/>
      <c r="H30" s="48"/>
      <c r="I30" s="48"/>
      <c r="J30" s="48"/>
      <c r="K30" s="48"/>
      <c r="L30" s="48"/>
      <c r="M30" s="3"/>
      <c r="N30" s="3"/>
      <c r="O30" s="3"/>
      <c r="P30" s="3"/>
      <c r="Q30" s="3"/>
      <c r="R30" s="3"/>
    </row>
    <row r="31" spans="1:18" ht="9.9" customHeight="1" thickBot="1" x14ac:dyDescent="0.35">
      <c r="A31" s="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.9" customHeight="1" thickBot="1" x14ac:dyDescent="0.35">
      <c r="A32" s="1"/>
      <c r="B32" s="6" t="s">
        <v>26</v>
      </c>
      <c r="C32" s="131" t="s">
        <v>155</v>
      </c>
      <c r="D32" s="3"/>
      <c r="E32" s="142" t="s">
        <v>27</v>
      </c>
      <c r="F32" s="142" t="s">
        <v>28</v>
      </c>
      <c r="G32" s="142" t="s">
        <v>29</v>
      </c>
      <c r="H32" s="6" t="s">
        <v>30</v>
      </c>
      <c r="I32" s="143" t="s">
        <v>31</v>
      </c>
      <c r="J32" s="143" t="s">
        <v>32</v>
      </c>
      <c r="K32" s="143" t="s">
        <v>33</v>
      </c>
      <c r="L32" s="143" t="s">
        <v>34</v>
      </c>
      <c r="M32" s="49"/>
      <c r="N32" s="3"/>
      <c r="O32" s="3"/>
      <c r="P32" s="3"/>
      <c r="Q32" s="3"/>
      <c r="R32" s="3"/>
    </row>
    <row r="33" spans="1:18" ht="21.9" customHeight="1" x14ac:dyDescent="0.3">
      <c r="A33" s="1"/>
      <c r="B33" s="50"/>
      <c r="C33" s="144">
        <v>0</v>
      </c>
      <c r="D33" s="3"/>
      <c r="E33" s="51" t="s">
        <v>158</v>
      </c>
      <c r="F33" s="52"/>
      <c r="G33" s="53"/>
      <c r="H33" s="54"/>
      <c r="I33" s="55"/>
      <c r="J33" s="56"/>
      <c r="K33" s="145">
        <f>SUM(F33:G33)</f>
        <v>0</v>
      </c>
      <c r="L33" s="146">
        <f>SUM(H33:J33)</f>
        <v>0</v>
      </c>
      <c r="M33" s="3"/>
      <c r="N33" s="3"/>
      <c r="O33" s="3"/>
      <c r="P33" s="3"/>
      <c r="Q33" s="3"/>
      <c r="R33" s="3"/>
    </row>
    <row r="34" spans="1:18" ht="21.9" customHeight="1" x14ac:dyDescent="0.3">
      <c r="A34" s="1"/>
      <c r="B34" s="7"/>
      <c r="C34" s="130"/>
      <c r="D34" s="3"/>
      <c r="E34" s="147" t="str">
        <f t="shared" ref="E34:E44" si="0">TEXT(EDATE(DATEVALUE(TRIM(E33)&amp;" 1"),1),"mmmm")</f>
        <v>February</v>
      </c>
      <c r="F34" s="57"/>
      <c r="G34" s="58"/>
      <c r="H34" s="59"/>
      <c r="I34" s="60"/>
      <c r="J34" s="61"/>
      <c r="K34" s="145">
        <f t="shared" ref="K34:K44" si="1">SUM(F34:G34)</f>
        <v>0</v>
      </c>
      <c r="L34" s="146">
        <f t="shared" ref="L34:L44" si="2">SUM(H34:J34)</f>
        <v>0</v>
      </c>
      <c r="M34" s="3"/>
      <c r="N34" s="3"/>
      <c r="O34" s="3"/>
      <c r="P34" s="3"/>
      <c r="Q34" s="3"/>
      <c r="R34" s="3"/>
    </row>
    <row r="35" spans="1:18" ht="21.9" customHeight="1" x14ac:dyDescent="0.3">
      <c r="A35" s="1"/>
      <c r="B35" s="7"/>
      <c r="C35" s="7"/>
      <c r="D35" s="3"/>
      <c r="E35" s="147" t="str">
        <f t="shared" si="0"/>
        <v>March</v>
      </c>
      <c r="F35" s="57"/>
      <c r="G35" s="58"/>
      <c r="H35" s="59"/>
      <c r="I35" s="60"/>
      <c r="J35" s="61"/>
      <c r="K35" s="145">
        <f t="shared" si="1"/>
        <v>0</v>
      </c>
      <c r="L35" s="146">
        <f t="shared" si="2"/>
        <v>0</v>
      </c>
      <c r="M35" s="3"/>
      <c r="N35" s="3"/>
      <c r="O35" s="3"/>
      <c r="P35" s="3"/>
      <c r="Q35" s="3"/>
      <c r="R35" s="3"/>
    </row>
    <row r="36" spans="1:18" ht="21.9" customHeight="1" x14ac:dyDescent="0.3">
      <c r="A36" s="1"/>
      <c r="B36" s="7"/>
      <c r="C36" s="7"/>
      <c r="D36" s="3"/>
      <c r="E36" s="147" t="str">
        <f t="shared" si="0"/>
        <v>April</v>
      </c>
      <c r="F36" s="57"/>
      <c r="G36" s="58"/>
      <c r="H36" s="59"/>
      <c r="I36" s="60"/>
      <c r="J36" s="61"/>
      <c r="K36" s="145">
        <f t="shared" si="1"/>
        <v>0</v>
      </c>
      <c r="L36" s="146">
        <f t="shared" si="2"/>
        <v>0</v>
      </c>
      <c r="M36" s="3"/>
      <c r="N36" s="3"/>
      <c r="O36" s="3"/>
      <c r="P36" s="3"/>
      <c r="Q36" s="3"/>
      <c r="R36" s="3"/>
    </row>
    <row r="37" spans="1:18" ht="21.9" customHeight="1" x14ac:dyDescent="0.3">
      <c r="A37" s="1"/>
      <c r="B37" s="7"/>
      <c r="C37" s="7"/>
      <c r="D37" s="3"/>
      <c r="E37" s="147" t="str">
        <f t="shared" si="0"/>
        <v>May</v>
      </c>
      <c r="F37" s="57"/>
      <c r="G37" s="58"/>
      <c r="H37" s="59"/>
      <c r="I37" s="60"/>
      <c r="J37" s="61"/>
      <c r="K37" s="145">
        <f t="shared" si="1"/>
        <v>0</v>
      </c>
      <c r="L37" s="146">
        <f t="shared" si="2"/>
        <v>0</v>
      </c>
      <c r="M37" s="3"/>
      <c r="N37" s="3"/>
      <c r="O37" s="3"/>
      <c r="P37" s="3"/>
      <c r="Q37" s="3"/>
      <c r="R37" s="3"/>
    </row>
    <row r="38" spans="1:18" ht="21.9" customHeight="1" x14ac:dyDescent="0.3">
      <c r="A38" s="1"/>
      <c r="B38" s="7"/>
      <c r="C38" s="7"/>
      <c r="D38" s="3"/>
      <c r="E38" s="147" t="str">
        <f t="shared" si="0"/>
        <v>June</v>
      </c>
      <c r="F38" s="57"/>
      <c r="G38" s="58"/>
      <c r="H38" s="59"/>
      <c r="I38" s="60"/>
      <c r="J38" s="61"/>
      <c r="K38" s="145">
        <f t="shared" si="1"/>
        <v>0</v>
      </c>
      <c r="L38" s="146">
        <f t="shared" si="2"/>
        <v>0</v>
      </c>
      <c r="M38" s="3"/>
      <c r="N38" s="3"/>
      <c r="O38" s="3"/>
      <c r="P38" s="3"/>
      <c r="Q38" s="3"/>
      <c r="R38" s="3"/>
    </row>
    <row r="39" spans="1:18" ht="21.9" customHeight="1" x14ac:dyDescent="0.3">
      <c r="A39" s="1"/>
      <c r="B39" s="7"/>
      <c r="C39" s="7"/>
      <c r="D39" s="3"/>
      <c r="E39" s="147" t="str">
        <f t="shared" si="0"/>
        <v>July</v>
      </c>
      <c r="F39" s="57"/>
      <c r="G39" s="58"/>
      <c r="H39" s="59"/>
      <c r="I39" s="60"/>
      <c r="J39" s="61"/>
      <c r="K39" s="145">
        <f t="shared" si="1"/>
        <v>0</v>
      </c>
      <c r="L39" s="146">
        <f t="shared" si="2"/>
        <v>0</v>
      </c>
      <c r="M39" s="3"/>
      <c r="N39" s="3"/>
      <c r="O39" s="3"/>
      <c r="P39" s="3"/>
      <c r="Q39" s="3"/>
      <c r="R39" s="3"/>
    </row>
    <row r="40" spans="1:18" ht="21.9" customHeight="1" x14ac:dyDescent="0.3">
      <c r="A40" s="1"/>
      <c r="B40" s="7"/>
      <c r="C40" s="7"/>
      <c r="D40" s="3"/>
      <c r="E40" s="147" t="str">
        <f t="shared" si="0"/>
        <v>August</v>
      </c>
      <c r="F40" s="57"/>
      <c r="G40" s="58"/>
      <c r="H40" s="59"/>
      <c r="I40" s="60"/>
      <c r="J40" s="61"/>
      <c r="K40" s="145">
        <f t="shared" si="1"/>
        <v>0</v>
      </c>
      <c r="L40" s="146">
        <f t="shared" si="2"/>
        <v>0</v>
      </c>
      <c r="M40" s="3"/>
      <c r="N40" s="3"/>
      <c r="O40" s="3"/>
      <c r="P40" s="3"/>
      <c r="Q40" s="3"/>
      <c r="R40" s="3"/>
    </row>
    <row r="41" spans="1:18" ht="21.9" customHeight="1" x14ac:dyDescent="0.3">
      <c r="A41" s="1"/>
      <c r="B41" s="7"/>
      <c r="C41" s="7"/>
      <c r="D41" s="3"/>
      <c r="E41" s="147" t="str">
        <f t="shared" si="0"/>
        <v>September</v>
      </c>
      <c r="F41" s="57"/>
      <c r="G41" s="58"/>
      <c r="H41" s="59"/>
      <c r="I41" s="60"/>
      <c r="J41" s="61"/>
      <c r="K41" s="145">
        <f t="shared" si="1"/>
        <v>0</v>
      </c>
      <c r="L41" s="146">
        <f t="shared" si="2"/>
        <v>0</v>
      </c>
      <c r="M41" s="3"/>
      <c r="N41" s="3"/>
      <c r="O41" s="3"/>
      <c r="P41" s="3"/>
      <c r="Q41" s="3"/>
      <c r="R41" s="3"/>
    </row>
    <row r="42" spans="1:18" ht="21.9" customHeight="1" x14ac:dyDescent="0.3">
      <c r="A42" s="1"/>
      <c r="B42" s="7"/>
      <c r="C42" s="7"/>
      <c r="D42" s="3"/>
      <c r="E42" s="147" t="str">
        <f t="shared" si="0"/>
        <v>October</v>
      </c>
      <c r="F42" s="57"/>
      <c r="G42" s="58"/>
      <c r="H42" s="59"/>
      <c r="I42" s="60"/>
      <c r="J42" s="61"/>
      <c r="K42" s="145">
        <f t="shared" si="1"/>
        <v>0</v>
      </c>
      <c r="L42" s="146">
        <f t="shared" si="2"/>
        <v>0</v>
      </c>
      <c r="M42" s="3"/>
      <c r="N42" s="3"/>
      <c r="O42" s="3"/>
      <c r="P42" s="3"/>
      <c r="Q42" s="3"/>
      <c r="R42" s="3"/>
    </row>
    <row r="43" spans="1:18" ht="21.9" customHeight="1" x14ac:dyDescent="0.3">
      <c r="A43" s="1"/>
      <c r="B43" s="7"/>
      <c r="C43" s="7"/>
      <c r="D43" s="3"/>
      <c r="E43" s="147" t="str">
        <f t="shared" si="0"/>
        <v>November</v>
      </c>
      <c r="F43" s="57"/>
      <c r="G43" s="58"/>
      <c r="H43" s="62"/>
      <c r="I43" s="60"/>
      <c r="J43" s="61"/>
      <c r="K43" s="145">
        <f t="shared" si="1"/>
        <v>0</v>
      </c>
      <c r="L43" s="146">
        <f t="shared" si="2"/>
        <v>0</v>
      </c>
      <c r="M43" s="3"/>
      <c r="N43" s="3"/>
      <c r="O43" s="3"/>
      <c r="P43" s="3"/>
      <c r="Q43" s="3"/>
      <c r="R43" s="3"/>
    </row>
    <row r="44" spans="1:18" ht="21.9" customHeight="1" thickBot="1" x14ac:dyDescent="0.35">
      <c r="A44" s="1"/>
      <c r="B44" s="7"/>
      <c r="C44" s="7"/>
      <c r="D44" s="3"/>
      <c r="E44" s="147" t="str">
        <f t="shared" si="0"/>
        <v>December</v>
      </c>
      <c r="F44" s="63"/>
      <c r="G44" s="64"/>
      <c r="H44" s="65"/>
      <c r="I44" s="66"/>
      <c r="J44" s="67"/>
      <c r="K44" s="145">
        <f t="shared" si="1"/>
        <v>0</v>
      </c>
      <c r="L44" s="146">
        <f t="shared" si="2"/>
        <v>0</v>
      </c>
      <c r="M44" s="68"/>
      <c r="N44" s="3"/>
      <c r="O44" s="3"/>
      <c r="P44" s="3"/>
      <c r="Q44" s="3"/>
      <c r="R44" s="3"/>
    </row>
    <row r="45" spans="1:18" ht="21.9" customHeight="1" thickBot="1" x14ac:dyDescent="0.35">
      <c r="A45" s="1"/>
      <c r="B45" s="6" t="s">
        <v>35</v>
      </c>
      <c r="C45" s="69">
        <f>COUNTA(B33:B44)</f>
        <v>0</v>
      </c>
      <c r="D45" s="3"/>
      <c r="E45" s="70" t="s">
        <v>36</v>
      </c>
      <c r="F45" s="69">
        <f t="shared" ref="F45:L45" si="3">SUM(F33:F44)</f>
        <v>0</v>
      </c>
      <c r="G45" s="69">
        <f t="shared" si="3"/>
        <v>0</v>
      </c>
      <c r="H45" s="71">
        <f t="shared" si="3"/>
        <v>0</v>
      </c>
      <c r="I45" s="71">
        <f t="shared" si="3"/>
        <v>0</v>
      </c>
      <c r="J45" s="71">
        <f t="shared" si="3"/>
        <v>0</v>
      </c>
      <c r="K45" s="69">
        <f t="shared" si="3"/>
        <v>0</v>
      </c>
      <c r="L45" s="72">
        <f t="shared" si="3"/>
        <v>0</v>
      </c>
      <c r="M45" s="3"/>
      <c r="N45" s="3"/>
      <c r="O45" s="3"/>
      <c r="P45" s="3"/>
      <c r="Q45" s="3"/>
      <c r="R45" s="3"/>
    </row>
    <row r="46" spans="1:18" x14ac:dyDescent="0.3">
      <c r="A46" s="1"/>
      <c r="B46" s="3"/>
      <c r="C46" s="3"/>
      <c r="D46" s="3"/>
      <c r="E46" s="49"/>
      <c r="F46" s="49"/>
      <c r="G46" s="49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18.75" customHeight="1" thickBot="1" x14ac:dyDescent="0.35">
      <c r="A47" s="1"/>
      <c r="B47" s="3"/>
      <c r="C47" s="3"/>
      <c r="D47" s="3"/>
      <c r="E47" s="49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18.75" customHeight="1" thickBot="1" x14ac:dyDescent="0.35">
      <c r="A48" s="1"/>
      <c r="B48" s="214" t="s">
        <v>415</v>
      </c>
      <c r="C48" s="214"/>
      <c r="D48" s="3"/>
      <c r="E48" s="36" t="s">
        <v>37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9.75" customHeight="1" thickBot="1" x14ac:dyDescent="0.35">
      <c r="A49" s="1"/>
      <c r="B49" s="3"/>
      <c r="C49" s="3"/>
      <c r="D49" s="3"/>
      <c r="E49" s="191"/>
      <c r="F49" s="192"/>
      <c r="G49" s="192"/>
      <c r="H49" s="192"/>
      <c r="I49" s="192"/>
      <c r="J49" s="192"/>
      <c r="K49" s="192"/>
      <c r="L49" s="193"/>
      <c r="M49" s="3"/>
      <c r="N49" s="3"/>
      <c r="O49" s="3"/>
      <c r="P49" s="3"/>
      <c r="Q49" s="3"/>
      <c r="R49" s="3"/>
    </row>
    <row r="50" spans="1:18" ht="18.75" customHeight="1" x14ac:dyDescent="0.3">
      <c r="A50" s="1"/>
      <c r="B50" s="196" t="s">
        <v>84</v>
      </c>
      <c r="C50" s="199"/>
      <c r="D50" s="3"/>
      <c r="E50" s="136"/>
      <c r="F50" s="132"/>
      <c r="G50" s="132"/>
      <c r="H50" s="132"/>
      <c r="I50" s="132"/>
      <c r="J50" s="132"/>
      <c r="K50" s="132"/>
      <c r="L50" s="133"/>
      <c r="M50" s="3"/>
      <c r="N50" s="3"/>
      <c r="O50" s="3"/>
      <c r="P50" s="3"/>
      <c r="Q50" s="3"/>
      <c r="R50" s="3"/>
    </row>
    <row r="51" spans="1:18" ht="18.75" customHeight="1" x14ac:dyDescent="0.3">
      <c r="A51" s="1"/>
      <c r="B51" s="197" t="s">
        <v>416</v>
      </c>
      <c r="C51" s="200"/>
      <c r="D51" s="3"/>
      <c r="E51" s="136"/>
      <c r="F51" s="132"/>
      <c r="G51" s="132"/>
      <c r="H51" s="132"/>
      <c r="I51" s="132"/>
      <c r="J51" s="132"/>
      <c r="K51" s="132"/>
      <c r="L51" s="133"/>
      <c r="M51" s="3"/>
      <c r="N51" s="3"/>
      <c r="O51" s="3"/>
      <c r="P51" s="3"/>
      <c r="Q51" s="3"/>
      <c r="R51" s="3"/>
    </row>
    <row r="52" spans="1:18" ht="18.75" customHeight="1" thickBot="1" x14ac:dyDescent="0.35">
      <c r="A52" s="1"/>
      <c r="B52" s="194" t="s">
        <v>417</v>
      </c>
      <c r="C52" s="195"/>
      <c r="D52" s="3"/>
      <c r="E52" s="137"/>
      <c r="F52" s="134"/>
      <c r="G52" s="134"/>
      <c r="H52" s="134"/>
      <c r="I52" s="134"/>
      <c r="J52" s="134"/>
      <c r="K52" s="134"/>
      <c r="L52" s="135"/>
      <c r="M52" s="3"/>
      <c r="N52" s="3"/>
      <c r="O52" s="3"/>
      <c r="P52" s="3"/>
      <c r="Q52" s="3"/>
      <c r="R52" s="3"/>
    </row>
    <row r="53" spans="1:18" ht="18.75" customHeight="1" x14ac:dyDescent="0.3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18.75" customHeight="1" x14ac:dyDescent="0.3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ht="20.100000000000001" customHeight="1" x14ac:dyDescent="0.3">
      <c r="A55" s="1"/>
      <c r="B55" s="213" t="s">
        <v>38</v>
      </c>
      <c r="C55" s="213"/>
      <c r="D55" s="73"/>
      <c r="E55" s="73"/>
      <c r="F55" s="73"/>
      <c r="G55" s="73"/>
      <c r="H55" s="73"/>
      <c r="I55" s="73"/>
      <c r="J55" s="73"/>
      <c r="K55" s="73"/>
      <c r="L55" s="73"/>
      <c r="M55" s="3"/>
      <c r="N55" s="3"/>
      <c r="O55" s="3"/>
      <c r="P55" s="3"/>
      <c r="Q55" s="3"/>
      <c r="R55" s="3"/>
    </row>
    <row r="56" spans="1:18" ht="9.9" customHeight="1" thickBot="1" x14ac:dyDescent="0.35">
      <c r="A56" s="1"/>
      <c r="B56" s="74"/>
      <c r="C56" s="74"/>
      <c r="D56" s="74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ht="21.9" customHeight="1" thickBot="1" x14ac:dyDescent="0.35">
      <c r="A57" s="1"/>
      <c r="B57" s="6" t="s">
        <v>39</v>
      </c>
      <c r="C57" s="6" t="s">
        <v>40</v>
      </c>
      <c r="D57" s="6" t="s">
        <v>41</v>
      </c>
      <c r="E57" s="6" t="s">
        <v>42</v>
      </c>
      <c r="F57" s="148" t="s">
        <v>43</v>
      </c>
      <c r="G57" s="6" t="s">
        <v>44</v>
      </c>
      <c r="H57" s="6" t="s">
        <v>45</v>
      </c>
      <c r="I57" s="6" t="s">
        <v>46</v>
      </c>
      <c r="J57" s="6" t="s">
        <v>47</v>
      </c>
      <c r="K57" s="6" t="s">
        <v>48</v>
      </c>
      <c r="L57" s="6" t="s">
        <v>49</v>
      </c>
      <c r="M57" s="3"/>
      <c r="N57" s="3"/>
      <c r="O57" s="3"/>
      <c r="P57" s="3"/>
      <c r="Q57" s="3"/>
      <c r="R57" s="3"/>
    </row>
    <row r="58" spans="1:18" ht="21.9" customHeight="1" thickBot="1" x14ac:dyDescent="0.35">
      <c r="A58" s="1"/>
      <c r="B58" s="50" t="s">
        <v>39</v>
      </c>
      <c r="C58" s="8"/>
      <c r="D58" s="9"/>
      <c r="E58" s="21"/>
      <c r="F58" s="22"/>
      <c r="G58" s="149">
        <v>460</v>
      </c>
      <c r="H58" s="9"/>
      <c r="I58" s="11"/>
      <c r="J58" s="150" t="str">
        <f t="shared" ref="J58:J72" si="4">IF(OR(I58="",K58=""),"",I58-1.25*K58)</f>
        <v/>
      </c>
      <c r="K58" s="11"/>
      <c r="L58" s="23"/>
      <c r="M58" s="3"/>
      <c r="N58" s="3"/>
      <c r="O58" s="3"/>
      <c r="P58" s="3"/>
      <c r="Q58" s="3"/>
      <c r="R58" s="3"/>
    </row>
    <row r="59" spans="1:18" ht="21.9" customHeight="1" thickBot="1" x14ac:dyDescent="0.35">
      <c r="A59" s="1"/>
      <c r="B59" s="7" t="s">
        <v>39</v>
      </c>
      <c r="C59" s="10"/>
      <c r="D59" s="9"/>
      <c r="E59" s="21"/>
      <c r="F59" s="22"/>
      <c r="G59" s="149">
        <v>460</v>
      </c>
      <c r="H59" s="9"/>
      <c r="I59" s="11"/>
      <c r="J59" s="150" t="str">
        <f t="shared" si="4"/>
        <v/>
      </c>
      <c r="K59" s="11"/>
      <c r="L59" s="23"/>
      <c r="M59" s="3"/>
      <c r="N59" s="3"/>
      <c r="O59" s="3"/>
      <c r="P59" s="3"/>
      <c r="Q59" s="3"/>
      <c r="R59" s="3"/>
    </row>
    <row r="60" spans="1:18" ht="21.9" customHeight="1" thickBot="1" x14ac:dyDescent="0.35">
      <c r="A60" s="1"/>
      <c r="B60" s="7" t="s">
        <v>39</v>
      </c>
      <c r="C60" s="10"/>
      <c r="D60" s="9"/>
      <c r="E60" s="21"/>
      <c r="F60" s="22"/>
      <c r="G60" s="149">
        <v>460</v>
      </c>
      <c r="H60" s="9"/>
      <c r="I60" s="11"/>
      <c r="J60" s="150" t="str">
        <f t="shared" si="4"/>
        <v/>
      </c>
      <c r="K60" s="11"/>
      <c r="L60" s="23"/>
      <c r="M60" s="3"/>
      <c r="N60" s="3"/>
      <c r="O60" s="3"/>
      <c r="P60" s="3"/>
      <c r="Q60" s="3"/>
      <c r="R60" s="3"/>
    </row>
    <row r="61" spans="1:18" ht="21.9" customHeight="1" thickBot="1" x14ac:dyDescent="0.35">
      <c r="A61" s="1"/>
      <c r="B61" s="7" t="s">
        <v>39</v>
      </c>
      <c r="C61" s="10"/>
      <c r="D61" s="9"/>
      <c r="E61" s="21"/>
      <c r="F61" s="22"/>
      <c r="G61" s="149">
        <v>460</v>
      </c>
      <c r="H61" s="9"/>
      <c r="I61" s="11"/>
      <c r="J61" s="150" t="str">
        <f t="shared" si="4"/>
        <v/>
      </c>
      <c r="K61" s="11"/>
      <c r="L61" s="23"/>
      <c r="M61" s="3"/>
      <c r="N61" s="3"/>
      <c r="O61" s="3"/>
      <c r="P61" s="3"/>
      <c r="Q61" s="3"/>
      <c r="R61" s="3"/>
    </row>
    <row r="62" spans="1:18" ht="21.9" customHeight="1" thickBot="1" x14ac:dyDescent="0.35">
      <c r="A62" s="1"/>
      <c r="B62" s="7" t="s">
        <v>39</v>
      </c>
      <c r="C62" s="10"/>
      <c r="D62" s="9"/>
      <c r="E62" s="21"/>
      <c r="F62" s="22"/>
      <c r="G62" s="149">
        <v>460</v>
      </c>
      <c r="H62" s="9"/>
      <c r="I62" s="11"/>
      <c r="J62" s="150" t="str">
        <f t="shared" si="4"/>
        <v/>
      </c>
      <c r="K62" s="11"/>
      <c r="L62" s="23"/>
      <c r="M62" s="3"/>
      <c r="N62" s="3"/>
      <c r="O62" s="3"/>
      <c r="P62" s="3"/>
      <c r="Q62" s="3"/>
      <c r="R62" s="3"/>
    </row>
    <row r="63" spans="1:18" ht="21.9" customHeight="1" thickBot="1" x14ac:dyDescent="0.35">
      <c r="A63" s="1"/>
      <c r="B63" s="7" t="s">
        <v>39</v>
      </c>
      <c r="C63" s="10"/>
      <c r="D63" s="9"/>
      <c r="E63" s="21"/>
      <c r="F63" s="22"/>
      <c r="G63" s="149">
        <v>460</v>
      </c>
      <c r="H63" s="9"/>
      <c r="I63" s="11"/>
      <c r="J63" s="150" t="str">
        <f t="shared" si="4"/>
        <v/>
      </c>
      <c r="K63" s="11"/>
      <c r="L63" s="23"/>
      <c r="M63" s="3"/>
      <c r="N63" s="3"/>
      <c r="O63" s="3"/>
      <c r="P63" s="3"/>
      <c r="Q63" s="3"/>
      <c r="R63" s="3"/>
    </row>
    <row r="64" spans="1:18" ht="21.9" customHeight="1" thickBot="1" x14ac:dyDescent="0.35">
      <c r="A64" s="1"/>
      <c r="B64" s="7" t="s">
        <v>39</v>
      </c>
      <c r="C64" s="10"/>
      <c r="D64" s="9"/>
      <c r="E64" s="21"/>
      <c r="F64" s="22"/>
      <c r="G64" s="149">
        <v>460</v>
      </c>
      <c r="H64" s="9"/>
      <c r="I64" s="11"/>
      <c r="J64" s="150" t="str">
        <f t="shared" si="4"/>
        <v/>
      </c>
      <c r="K64" s="11"/>
      <c r="L64" s="23"/>
      <c r="M64" s="3"/>
      <c r="N64" s="3"/>
      <c r="O64" s="3"/>
      <c r="P64" s="3"/>
      <c r="Q64" s="3"/>
      <c r="R64" s="3"/>
    </row>
    <row r="65" spans="1:18" ht="21.9" customHeight="1" thickBot="1" x14ac:dyDescent="0.35">
      <c r="A65" s="1"/>
      <c r="B65" s="7" t="s">
        <v>39</v>
      </c>
      <c r="C65" s="10"/>
      <c r="D65" s="9"/>
      <c r="E65" s="21"/>
      <c r="F65" s="22"/>
      <c r="G65" s="149">
        <v>460</v>
      </c>
      <c r="H65" s="9"/>
      <c r="I65" s="11"/>
      <c r="J65" s="150" t="str">
        <f t="shared" si="4"/>
        <v/>
      </c>
      <c r="K65" s="11"/>
      <c r="L65" s="23"/>
      <c r="M65" s="3"/>
      <c r="N65" s="3"/>
      <c r="O65" s="3"/>
      <c r="P65" s="3"/>
      <c r="Q65" s="3"/>
      <c r="R65" s="3"/>
    </row>
    <row r="66" spans="1:18" ht="21.9" customHeight="1" thickBot="1" x14ac:dyDescent="0.35">
      <c r="A66" s="1"/>
      <c r="B66" s="7" t="s">
        <v>39</v>
      </c>
      <c r="C66" s="10"/>
      <c r="D66" s="9"/>
      <c r="E66" s="21"/>
      <c r="F66" s="22"/>
      <c r="G66" s="149">
        <v>460</v>
      </c>
      <c r="H66" s="9"/>
      <c r="I66" s="11"/>
      <c r="J66" s="150" t="str">
        <f t="shared" si="4"/>
        <v/>
      </c>
      <c r="K66" s="11"/>
      <c r="L66" s="23"/>
      <c r="M66" s="3"/>
      <c r="N66" s="3"/>
      <c r="O66" s="3"/>
      <c r="P66" s="3"/>
      <c r="Q66" s="3"/>
      <c r="R66" s="3"/>
    </row>
    <row r="67" spans="1:18" ht="21.9" customHeight="1" thickBot="1" x14ac:dyDescent="0.35">
      <c r="A67" s="1"/>
      <c r="B67" s="7" t="s">
        <v>39</v>
      </c>
      <c r="C67" s="10"/>
      <c r="D67" s="9"/>
      <c r="E67" s="21"/>
      <c r="F67" s="22"/>
      <c r="G67" s="149">
        <v>460</v>
      </c>
      <c r="H67" s="9"/>
      <c r="I67" s="11"/>
      <c r="J67" s="150" t="str">
        <f t="shared" si="4"/>
        <v/>
      </c>
      <c r="K67" s="11"/>
      <c r="L67" s="23"/>
      <c r="M67" s="3"/>
      <c r="N67" s="3"/>
      <c r="O67" s="3"/>
      <c r="P67" s="3"/>
      <c r="Q67" s="3"/>
      <c r="R67" s="3"/>
    </row>
    <row r="68" spans="1:18" ht="21.9" customHeight="1" thickBot="1" x14ac:dyDescent="0.35">
      <c r="A68" s="1"/>
      <c r="B68" s="7" t="s">
        <v>39</v>
      </c>
      <c r="C68" s="10"/>
      <c r="D68" s="9"/>
      <c r="E68" s="21"/>
      <c r="F68" s="22"/>
      <c r="G68" s="149">
        <v>460</v>
      </c>
      <c r="H68" s="9"/>
      <c r="I68" s="11"/>
      <c r="J68" s="150" t="str">
        <f t="shared" si="4"/>
        <v/>
      </c>
      <c r="K68" s="11"/>
      <c r="L68" s="23"/>
      <c r="M68" s="3"/>
      <c r="N68" s="3"/>
      <c r="O68" s="3"/>
      <c r="P68" s="3"/>
      <c r="Q68" s="3"/>
      <c r="R68" s="3"/>
    </row>
    <row r="69" spans="1:18" ht="21.9" customHeight="1" thickBot="1" x14ac:dyDescent="0.35">
      <c r="A69" s="1"/>
      <c r="B69" s="7" t="s">
        <v>39</v>
      </c>
      <c r="C69" s="10"/>
      <c r="D69" s="9"/>
      <c r="E69" s="21"/>
      <c r="F69" s="22"/>
      <c r="G69" s="149">
        <v>460</v>
      </c>
      <c r="H69" s="9"/>
      <c r="I69" s="11"/>
      <c r="J69" s="150" t="str">
        <f t="shared" si="4"/>
        <v/>
      </c>
      <c r="K69" s="11"/>
      <c r="L69" s="23"/>
      <c r="M69" s="3"/>
      <c r="N69" s="3"/>
      <c r="O69" s="3"/>
      <c r="P69" s="3"/>
      <c r="Q69" s="3"/>
      <c r="R69" s="3"/>
    </row>
    <row r="70" spans="1:18" ht="21.9" customHeight="1" thickBot="1" x14ac:dyDescent="0.35">
      <c r="A70" s="1"/>
      <c r="B70" s="7" t="s">
        <v>39</v>
      </c>
      <c r="C70" s="10"/>
      <c r="D70" s="9"/>
      <c r="E70" s="21"/>
      <c r="F70" s="22"/>
      <c r="G70" s="149">
        <v>460</v>
      </c>
      <c r="H70" s="9"/>
      <c r="I70" s="11"/>
      <c r="J70" s="150" t="str">
        <f t="shared" si="4"/>
        <v/>
      </c>
      <c r="K70" s="11"/>
      <c r="L70" s="23"/>
      <c r="M70" s="3"/>
      <c r="N70" s="3"/>
      <c r="O70" s="3"/>
      <c r="P70" s="3"/>
      <c r="Q70" s="3"/>
      <c r="R70" s="3"/>
    </row>
    <row r="71" spans="1:18" ht="21.9" customHeight="1" thickBot="1" x14ac:dyDescent="0.35">
      <c r="A71" s="1"/>
      <c r="B71" s="7" t="s">
        <v>39</v>
      </c>
      <c r="C71" s="12"/>
      <c r="D71" s="27"/>
      <c r="E71" s="25"/>
      <c r="F71" s="26"/>
      <c r="G71" s="149">
        <v>460</v>
      </c>
      <c r="H71" s="27"/>
      <c r="I71" s="13"/>
      <c r="J71" s="150" t="str">
        <f t="shared" si="4"/>
        <v/>
      </c>
      <c r="K71" s="13"/>
      <c r="L71" s="24"/>
      <c r="M71" s="3"/>
      <c r="N71" s="3"/>
      <c r="O71" s="3"/>
      <c r="P71" s="3"/>
      <c r="Q71" s="3"/>
      <c r="R71" s="3"/>
    </row>
    <row r="72" spans="1:18" ht="21.9" customHeight="1" thickBot="1" x14ac:dyDescent="0.35">
      <c r="A72" s="1"/>
      <c r="B72" s="7" t="s">
        <v>39</v>
      </c>
      <c r="C72" s="14"/>
      <c r="D72" s="28"/>
      <c r="E72" s="75"/>
      <c r="F72" s="30"/>
      <c r="G72" s="149">
        <v>460</v>
      </c>
      <c r="H72" s="28"/>
      <c r="I72" s="15"/>
      <c r="J72" s="150" t="str">
        <f t="shared" si="4"/>
        <v/>
      </c>
      <c r="K72" s="15"/>
      <c r="L72" s="31"/>
      <c r="M72" s="3"/>
      <c r="N72" s="3"/>
      <c r="O72" s="3"/>
      <c r="P72" s="3"/>
      <c r="Q72" s="3"/>
      <c r="R72" s="3"/>
    </row>
    <row r="73" spans="1:18" ht="21.9" customHeight="1" thickBot="1" x14ac:dyDescent="0.35">
      <c r="A73" s="1"/>
      <c r="B73" s="6" t="s">
        <v>39</v>
      </c>
      <c r="C73" s="151">
        <f>SUM(C58:C72)</f>
        <v>0</v>
      </c>
      <c r="D73" s="76"/>
      <c r="E73" s="77"/>
      <c r="F73" s="152">
        <f t="shared" ref="F73:L73" si="5">IFERROR(AVERAGE(F58:F72),0)</f>
        <v>0</v>
      </c>
      <c r="G73" s="153">
        <f t="shared" si="5"/>
        <v>460</v>
      </c>
      <c r="H73" s="152">
        <f t="shared" si="5"/>
        <v>0</v>
      </c>
      <c r="I73" s="153">
        <f t="shared" si="5"/>
        <v>0</v>
      </c>
      <c r="J73" s="153">
        <f t="shared" si="5"/>
        <v>0</v>
      </c>
      <c r="K73" s="153">
        <f t="shared" si="5"/>
        <v>0</v>
      </c>
      <c r="L73" s="153">
        <f t="shared" si="5"/>
        <v>0</v>
      </c>
      <c r="M73" s="3"/>
      <c r="N73" s="3"/>
      <c r="O73" s="3"/>
      <c r="P73" s="3"/>
      <c r="Q73" s="3"/>
      <c r="R73" s="3"/>
    </row>
    <row r="74" spans="1:18" ht="21.75" customHeight="1" x14ac:dyDescent="0.3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 ht="21.75" customHeight="1" x14ac:dyDescent="0.3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 ht="20.100000000000001" customHeight="1" x14ac:dyDescent="0.3">
      <c r="A76" s="1"/>
      <c r="B76" s="213" t="s">
        <v>50</v>
      </c>
      <c r="C76" s="213"/>
      <c r="D76" s="73"/>
      <c r="E76" s="73"/>
      <c r="F76" s="73"/>
      <c r="G76" s="73"/>
      <c r="H76" s="73"/>
      <c r="I76" s="73"/>
      <c r="J76" s="73"/>
      <c r="K76" s="73"/>
      <c r="L76" s="73"/>
      <c r="M76" s="3"/>
      <c r="N76" s="3"/>
      <c r="O76" s="3"/>
      <c r="P76" s="3"/>
      <c r="Q76" s="3"/>
      <c r="R76" s="3"/>
    </row>
    <row r="77" spans="1:18" ht="9.9" customHeight="1" thickBot="1" x14ac:dyDescent="0.35">
      <c r="A77" s="1"/>
      <c r="B77" s="78"/>
      <c r="C77" s="78"/>
      <c r="D77" s="79"/>
      <c r="E77" s="79"/>
      <c r="F77" s="79"/>
      <c r="G77" s="79"/>
      <c r="H77" s="79"/>
      <c r="I77" s="79"/>
      <c r="J77" s="79"/>
      <c r="K77" s="79"/>
      <c r="L77" s="79"/>
      <c r="M77" s="3"/>
      <c r="N77" s="3"/>
      <c r="O77" s="3"/>
      <c r="P77" s="3"/>
      <c r="Q77" s="3"/>
      <c r="R77" s="3"/>
    </row>
    <row r="78" spans="1:18" ht="21.75" customHeight="1" thickBot="1" x14ac:dyDescent="0.35">
      <c r="A78" s="1"/>
      <c r="B78" s="6" t="s">
        <v>51</v>
      </c>
      <c r="C78" s="6" t="s">
        <v>40</v>
      </c>
      <c r="D78" s="6" t="s">
        <v>41</v>
      </c>
      <c r="E78" s="6" t="s">
        <v>42</v>
      </c>
      <c r="F78" s="148" t="s">
        <v>43</v>
      </c>
      <c r="G78" s="6" t="s">
        <v>44</v>
      </c>
      <c r="H78" s="6" t="s">
        <v>45</v>
      </c>
      <c r="I78" s="6" t="s">
        <v>46</v>
      </c>
      <c r="J78" s="6" t="s">
        <v>47</v>
      </c>
      <c r="K78" s="6" t="s">
        <v>48</v>
      </c>
      <c r="L78" s="6" t="s">
        <v>49</v>
      </c>
      <c r="M78" s="3"/>
      <c r="N78" s="3"/>
      <c r="O78" s="3"/>
      <c r="P78" s="3"/>
      <c r="Q78" s="3"/>
      <c r="R78" s="3"/>
    </row>
    <row r="79" spans="1:18" ht="21.75" customHeight="1" thickBot="1" x14ac:dyDescent="0.35">
      <c r="A79" s="1"/>
      <c r="B79" s="7" t="s">
        <v>51</v>
      </c>
      <c r="C79" s="8"/>
      <c r="D79" s="16"/>
      <c r="E79" s="17"/>
      <c r="F79" s="18"/>
      <c r="G79" s="149">
        <v>230</v>
      </c>
      <c r="H79" s="16"/>
      <c r="I79" s="19"/>
      <c r="J79" s="150" t="str">
        <f t="shared" ref="J79:J93" si="6">IF(OR(I79="",K79=""),"",I79-1.25*K79)</f>
        <v/>
      </c>
      <c r="K79" s="19"/>
      <c r="L79" s="20"/>
      <c r="M79" s="3"/>
      <c r="N79" s="3"/>
      <c r="O79" s="3"/>
      <c r="P79" s="3"/>
      <c r="Q79" s="3"/>
      <c r="R79" s="3"/>
    </row>
    <row r="80" spans="1:18" ht="21.75" customHeight="1" thickBot="1" x14ac:dyDescent="0.35">
      <c r="A80" s="1"/>
      <c r="B80" s="7" t="s">
        <v>51</v>
      </c>
      <c r="C80" s="10"/>
      <c r="D80" s="9"/>
      <c r="E80" s="21"/>
      <c r="F80" s="22"/>
      <c r="G80" s="149">
        <v>230</v>
      </c>
      <c r="H80" s="9"/>
      <c r="I80" s="11"/>
      <c r="J80" s="150" t="str">
        <f t="shared" si="6"/>
        <v/>
      </c>
      <c r="K80" s="11"/>
      <c r="L80" s="23"/>
      <c r="M80" s="3"/>
      <c r="N80" s="3"/>
      <c r="O80" s="3"/>
      <c r="P80" s="3"/>
      <c r="Q80" s="3"/>
      <c r="R80" s="3"/>
    </row>
    <row r="81" spans="1:18" ht="21.75" customHeight="1" thickBot="1" x14ac:dyDescent="0.35">
      <c r="A81" s="1"/>
      <c r="B81" s="7" t="s">
        <v>51</v>
      </c>
      <c r="C81" s="10"/>
      <c r="D81" s="9"/>
      <c r="E81" s="21"/>
      <c r="F81" s="22"/>
      <c r="G81" s="149">
        <v>230</v>
      </c>
      <c r="H81" s="9"/>
      <c r="I81" s="11"/>
      <c r="J81" s="150" t="str">
        <f t="shared" si="6"/>
        <v/>
      </c>
      <c r="K81" s="11"/>
      <c r="L81" s="23"/>
      <c r="M81" s="3"/>
      <c r="N81" s="3"/>
      <c r="O81" s="3"/>
      <c r="P81" s="3"/>
      <c r="Q81" s="3"/>
      <c r="R81" s="3"/>
    </row>
    <row r="82" spans="1:18" ht="21.75" customHeight="1" thickBot="1" x14ac:dyDescent="0.35">
      <c r="A82" s="1"/>
      <c r="B82" s="7" t="s">
        <v>51</v>
      </c>
      <c r="C82" s="10"/>
      <c r="D82" s="9"/>
      <c r="E82" s="21"/>
      <c r="F82" s="22"/>
      <c r="G82" s="149">
        <v>230</v>
      </c>
      <c r="H82" s="9"/>
      <c r="I82" s="11"/>
      <c r="J82" s="150" t="str">
        <f t="shared" si="6"/>
        <v/>
      </c>
      <c r="K82" s="11"/>
      <c r="L82" s="23"/>
      <c r="M82" s="3"/>
      <c r="N82" s="3"/>
      <c r="O82" s="3"/>
      <c r="P82" s="3"/>
      <c r="Q82" s="3"/>
      <c r="R82" s="3"/>
    </row>
    <row r="83" spans="1:18" ht="21.75" customHeight="1" thickBot="1" x14ac:dyDescent="0.35">
      <c r="A83" s="1"/>
      <c r="B83" s="7" t="s">
        <v>51</v>
      </c>
      <c r="C83" s="10"/>
      <c r="D83" s="9"/>
      <c r="E83" s="21"/>
      <c r="F83" s="22"/>
      <c r="G83" s="149">
        <v>230</v>
      </c>
      <c r="H83" s="9"/>
      <c r="I83" s="11"/>
      <c r="J83" s="150" t="str">
        <f t="shared" si="6"/>
        <v/>
      </c>
      <c r="K83" s="11"/>
      <c r="L83" s="23"/>
      <c r="M83" s="3"/>
      <c r="N83" s="3"/>
      <c r="O83" s="3"/>
      <c r="P83" s="3"/>
      <c r="Q83" s="3"/>
      <c r="R83" s="3"/>
    </row>
    <row r="84" spans="1:18" ht="21.75" customHeight="1" thickBot="1" x14ac:dyDescent="0.35">
      <c r="A84" s="1"/>
      <c r="B84" s="7" t="s">
        <v>51</v>
      </c>
      <c r="C84" s="10"/>
      <c r="D84" s="9"/>
      <c r="E84" s="21"/>
      <c r="F84" s="22"/>
      <c r="G84" s="149">
        <v>230</v>
      </c>
      <c r="H84" s="9"/>
      <c r="I84" s="11"/>
      <c r="J84" s="150" t="str">
        <f t="shared" si="6"/>
        <v/>
      </c>
      <c r="K84" s="11"/>
      <c r="L84" s="23"/>
      <c r="M84" s="3"/>
      <c r="N84" s="3"/>
      <c r="O84" s="3"/>
      <c r="P84" s="3"/>
      <c r="Q84" s="3"/>
      <c r="R84" s="3"/>
    </row>
    <row r="85" spans="1:18" ht="21.75" customHeight="1" thickBot="1" x14ac:dyDescent="0.35">
      <c r="A85" s="1"/>
      <c r="B85" s="7" t="s">
        <v>51</v>
      </c>
      <c r="C85" s="10"/>
      <c r="D85" s="9"/>
      <c r="E85" s="21"/>
      <c r="F85" s="22"/>
      <c r="G85" s="149">
        <v>230</v>
      </c>
      <c r="H85" s="9"/>
      <c r="I85" s="11"/>
      <c r="J85" s="150" t="str">
        <f t="shared" si="6"/>
        <v/>
      </c>
      <c r="K85" s="11"/>
      <c r="L85" s="23"/>
      <c r="M85" s="3"/>
      <c r="N85" s="3"/>
      <c r="O85" s="3"/>
      <c r="P85" s="3"/>
      <c r="Q85" s="3"/>
      <c r="R85" s="3"/>
    </row>
    <row r="86" spans="1:18" ht="21.75" customHeight="1" thickBot="1" x14ac:dyDescent="0.35">
      <c r="A86" s="1"/>
      <c r="B86" s="7" t="s">
        <v>51</v>
      </c>
      <c r="C86" s="10"/>
      <c r="D86" s="9"/>
      <c r="E86" s="21"/>
      <c r="F86" s="22"/>
      <c r="G86" s="149">
        <v>230</v>
      </c>
      <c r="H86" s="9"/>
      <c r="I86" s="11"/>
      <c r="J86" s="150" t="str">
        <f t="shared" si="6"/>
        <v/>
      </c>
      <c r="K86" s="11"/>
      <c r="L86" s="23"/>
      <c r="M86" s="3"/>
      <c r="N86" s="3"/>
      <c r="O86" s="3"/>
      <c r="P86" s="3"/>
      <c r="Q86" s="3"/>
      <c r="R86" s="3"/>
    </row>
    <row r="87" spans="1:18" ht="21.75" customHeight="1" thickBot="1" x14ac:dyDescent="0.35">
      <c r="A87" s="1"/>
      <c r="B87" s="7" t="s">
        <v>51</v>
      </c>
      <c r="C87" s="12"/>
      <c r="D87" s="27"/>
      <c r="E87" s="25"/>
      <c r="F87" s="26"/>
      <c r="G87" s="149">
        <v>230</v>
      </c>
      <c r="H87" s="27"/>
      <c r="I87" s="13"/>
      <c r="J87" s="150" t="str">
        <f t="shared" si="6"/>
        <v/>
      </c>
      <c r="K87" s="13"/>
      <c r="L87" s="24"/>
      <c r="M87" s="3"/>
      <c r="N87" s="3"/>
      <c r="O87" s="3"/>
      <c r="P87" s="3"/>
      <c r="Q87" s="3"/>
      <c r="R87" s="3"/>
    </row>
    <row r="88" spans="1:18" ht="21.75" customHeight="1" thickBot="1" x14ac:dyDescent="0.35">
      <c r="A88" s="1"/>
      <c r="B88" s="7" t="s">
        <v>51</v>
      </c>
      <c r="C88" s="12"/>
      <c r="D88" s="27"/>
      <c r="E88" s="25"/>
      <c r="F88" s="26"/>
      <c r="G88" s="149">
        <v>230</v>
      </c>
      <c r="H88" s="27"/>
      <c r="I88" s="13"/>
      <c r="J88" s="150" t="str">
        <f t="shared" si="6"/>
        <v/>
      </c>
      <c r="K88" s="13"/>
      <c r="L88" s="24"/>
      <c r="M88" s="3"/>
      <c r="N88" s="3"/>
      <c r="O88" s="3"/>
      <c r="P88" s="3"/>
      <c r="Q88" s="3"/>
      <c r="R88" s="3"/>
    </row>
    <row r="89" spans="1:18" ht="21.75" customHeight="1" thickBot="1" x14ac:dyDescent="0.35">
      <c r="A89" s="1"/>
      <c r="B89" s="7" t="s">
        <v>51</v>
      </c>
      <c r="C89" s="12"/>
      <c r="D89" s="27"/>
      <c r="E89" s="25"/>
      <c r="F89" s="26"/>
      <c r="G89" s="149">
        <v>230</v>
      </c>
      <c r="H89" s="27"/>
      <c r="I89" s="13"/>
      <c r="J89" s="150" t="str">
        <f t="shared" si="6"/>
        <v/>
      </c>
      <c r="K89" s="13"/>
      <c r="L89" s="24"/>
      <c r="M89" s="3"/>
      <c r="N89" s="3"/>
      <c r="O89" s="3"/>
      <c r="P89" s="3"/>
      <c r="Q89" s="3"/>
      <c r="R89" s="3"/>
    </row>
    <row r="90" spans="1:18" ht="21.75" customHeight="1" thickBot="1" x14ac:dyDescent="0.35">
      <c r="A90" s="1"/>
      <c r="B90" s="7" t="s">
        <v>51</v>
      </c>
      <c r="C90" s="12"/>
      <c r="D90" s="27"/>
      <c r="E90" s="25"/>
      <c r="F90" s="26"/>
      <c r="G90" s="149">
        <v>230</v>
      </c>
      <c r="H90" s="27"/>
      <c r="I90" s="13"/>
      <c r="J90" s="150" t="str">
        <f t="shared" si="6"/>
        <v/>
      </c>
      <c r="K90" s="13"/>
      <c r="L90" s="24"/>
      <c r="M90" s="3"/>
      <c r="N90" s="3"/>
      <c r="O90" s="3"/>
      <c r="P90" s="3"/>
      <c r="Q90" s="3"/>
      <c r="R90" s="3"/>
    </row>
    <row r="91" spans="1:18" ht="21.75" customHeight="1" thickBot="1" x14ac:dyDescent="0.35">
      <c r="A91" s="1"/>
      <c r="B91" s="7" t="s">
        <v>51</v>
      </c>
      <c r="C91" s="12"/>
      <c r="D91" s="27"/>
      <c r="E91" s="25"/>
      <c r="F91" s="26"/>
      <c r="G91" s="149">
        <v>230</v>
      </c>
      <c r="H91" s="27"/>
      <c r="I91" s="13"/>
      <c r="J91" s="150" t="str">
        <f t="shared" si="6"/>
        <v/>
      </c>
      <c r="K91" s="13"/>
      <c r="L91" s="24"/>
      <c r="M91" s="3"/>
      <c r="N91" s="3"/>
      <c r="O91" s="3"/>
      <c r="P91" s="3"/>
      <c r="Q91" s="3"/>
      <c r="R91" s="3"/>
    </row>
    <row r="92" spans="1:18" ht="21.9" customHeight="1" thickBot="1" x14ac:dyDescent="0.35">
      <c r="A92" s="1"/>
      <c r="B92" s="7" t="s">
        <v>51</v>
      </c>
      <c r="C92" s="10"/>
      <c r="D92" s="27"/>
      <c r="E92" s="25"/>
      <c r="F92" s="26"/>
      <c r="G92" s="149">
        <v>230</v>
      </c>
      <c r="H92" s="27"/>
      <c r="I92" s="13"/>
      <c r="J92" s="150" t="str">
        <f t="shared" si="6"/>
        <v/>
      </c>
      <c r="K92" s="13"/>
      <c r="L92" s="24"/>
      <c r="M92" s="3"/>
      <c r="N92" s="3"/>
      <c r="O92" s="3"/>
      <c r="P92" s="3"/>
      <c r="Q92" s="3"/>
      <c r="R92" s="3"/>
    </row>
    <row r="93" spans="1:18" ht="21.9" customHeight="1" thickBot="1" x14ac:dyDescent="0.35">
      <c r="A93" s="1"/>
      <c r="B93" s="7" t="s">
        <v>51</v>
      </c>
      <c r="C93" s="14"/>
      <c r="D93" s="28"/>
      <c r="E93" s="75"/>
      <c r="F93" s="30"/>
      <c r="G93" s="149">
        <v>230</v>
      </c>
      <c r="H93" s="28"/>
      <c r="I93" s="15"/>
      <c r="J93" s="150" t="str">
        <f t="shared" si="6"/>
        <v/>
      </c>
      <c r="K93" s="15"/>
      <c r="L93" s="31"/>
      <c r="M93" s="3"/>
      <c r="N93" s="3"/>
      <c r="O93" s="3"/>
      <c r="P93" s="3"/>
      <c r="Q93" s="3"/>
      <c r="R93" s="3"/>
    </row>
    <row r="94" spans="1:18" ht="21.9" customHeight="1" thickBot="1" x14ac:dyDescent="0.35">
      <c r="A94" s="1"/>
      <c r="B94" s="6" t="s">
        <v>51</v>
      </c>
      <c r="C94" s="151">
        <f>SUM(C79:C93)</f>
        <v>0</v>
      </c>
      <c r="D94" s="76"/>
      <c r="E94" s="77"/>
      <c r="F94" s="152">
        <f>IFERROR(AVERAGE(F79:F93),0)</f>
        <v>0</v>
      </c>
      <c r="G94" s="153">
        <f t="shared" ref="G94:L94" si="7">IFERROR(AVERAGE(G79:G93),0)</f>
        <v>230</v>
      </c>
      <c r="H94" s="152">
        <f>IFERROR(AVERAGE(H79:H93),0)</f>
        <v>0</v>
      </c>
      <c r="I94" s="153">
        <f t="shared" si="7"/>
        <v>0</v>
      </c>
      <c r="J94" s="152">
        <f t="shared" si="7"/>
        <v>0</v>
      </c>
      <c r="K94" s="153">
        <f t="shared" si="7"/>
        <v>0</v>
      </c>
      <c r="L94" s="153">
        <f t="shared" si="7"/>
        <v>0</v>
      </c>
      <c r="M94" s="3"/>
      <c r="N94" s="3"/>
      <c r="O94" s="3"/>
      <c r="P94" s="3"/>
      <c r="Q94" s="3"/>
      <c r="R94" s="3"/>
    </row>
    <row r="95" spans="1:18" ht="21.9" customHeight="1" x14ac:dyDescent="0.3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 ht="21.9" customHeight="1" x14ac:dyDescent="0.3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 ht="20.100000000000001" customHeight="1" x14ac:dyDescent="0.3">
      <c r="A97" s="1"/>
      <c r="B97" s="213" t="s">
        <v>52</v>
      </c>
      <c r="C97" s="213"/>
      <c r="D97" s="73"/>
      <c r="E97" s="73"/>
      <c r="F97" s="73"/>
      <c r="G97" s="73"/>
      <c r="H97" s="73"/>
      <c r="I97" s="73"/>
      <c r="J97" s="73"/>
      <c r="K97" s="73"/>
      <c r="L97" s="73"/>
      <c r="M97" s="3"/>
      <c r="N97" s="3"/>
      <c r="O97" s="3"/>
      <c r="P97" s="3"/>
      <c r="Q97" s="3"/>
      <c r="R97" s="3"/>
    </row>
    <row r="98" spans="1:18" ht="9.9" customHeight="1" thickBot="1" x14ac:dyDescent="0.35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ht="21.9" customHeight="1" thickBot="1" x14ac:dyDescent="0.35">
      <c r="A99" s="1"/>
      <c r="B99" s="6" t="s">
        <v>53</v>
      </c>
      <c r="C99" s="6" t="s">
        <v>40</v>
      </c>
      <c r="D99" s="6" t="s">
        <v>41</v>
      </c>
      <c r="E99" s="6" t="s">
        <v>42</v>
      </c>
      <c r="F99" s="148" t="s">
        <v>43</v>
      </c>
      <c r="G99" s="6" t="s">
        <v>44</v>
      </c>
      <c r="H99" s="6" t="s">
        <v>45</v>
      </c>
      <c r="I99" s="6" t="s">
        <v>46</v>
      </c>
      <c r="J99" s="6" t="s">
        <v>47</v>
      </c>
      <c r="K99" s="6" t="s">
        <v>48</v>
      </c>
      <c r="L99" s="6" t="s">
        <v>49</v>
      </c>
      <c r="M99" s="3"/>
      <c r="N99" s="3"/>
      <c r="O99" s="3"/>
      <c r="P99" s="3"/>
      <c r="Q99" s="3"/>
      <c r="R99" s="3"/>
    </row>
    <row r="100" spans="1:18" ht="21.9" customHeight="1" thickBot="1" x14ac:dyDescent="0.35">
      <c r="A100" s="1"/>
      <c r="B100" s="7" t="s">
        <v>53</v>
      </c>
      <c r="C100" s="10"/>
      <c r="D100" s="9"/>
      <c r="E100" s="21"/>
      <c r="F100" s="22"/>
      <c r="G100" s="10"/>
      <c r="H100" s="9"/>
      <c r="I100" s="11"/>
      <c r="J100" s="150" t="str">
        <f t="shared" ref="J100:J114" si="8">IF(OR(I100="",K100=""),"",I100-1.25*K100)</f>
        <v/>
      </c>
      <c r="K100" s="11"/>
      <c r="L100" s="23"/>
      <c r="M100" s="3"/>
      <c r="N100" s="3"/>
      <c r="O100" s="3"/>
      <c r="P100" s="3"/>
      <c r="Q100" s="3"/>
      <c r="R100" s="3"/>
    </row>
    <row r="101" spans="1:18" ht="21.9" customHeight="1" thickBot="1" x14ac:dyDescent="0.35">
      <c r="A101" s="1"/>
      <c r="B101" s="7" t="s">
        <v>53</v>
      </c>
      <c r="C101" s="10"/>
      <c r="D101" s="9"/>
      <c r="E101" s="21"/>
      <c r="F101" s="22"/>
      <c r="G101" s="10"/>
      <c r="H101" s="9"/>
      <c r="I101" s="11"/>
      <c r="J101" s="150" t="str">
        <f t="shared" si="8"/>
        <v/>
      </c>
      <c r="K101" s="11"/>
      <c r="L101" s="23"/>
      <c r="M101" s="3"/>
      <c r="N101" s="3"/>
      <c r="O101" s="3"/>
      <c r="P101" s="3"/>
      <c r="Q101" s="3"/>
      <c r="R101" s="3"/>
    </row>
    <row r="102" spans="1:18" ht="21.9" customHeight="1" thickBot="1" x14ac:dyDescent="0.35">
      <c r="A102" s="1"/>
      <c r="B102" s="7" t="s">
        <v>53</v>
      </c>
      <c r="C102" s="10"/>
      <c r="D102" s="9"/>
      <c r="E102" s="21"/>
      <c r="F102" s="22"/>
      <c r="G102" s="10"/>
      <c r="H102" s="9"/>
      <c r="I102" s="11"/>
      <c r="J102" s="150" t="str">
        <f t="shared" si="8"/>
        <v/>
      </c>
      <c r="K102" s="11"/>
      <c r="L102" s="23"/>
      <c r="M102" s="3"/>
      <c r="N102" s="3"/>
      <c r="O102" s="3"/>
      <c r="P102" s="3"/>
      <c r="Q102" s="3"/>
      <c r="R102" s="3"/>
    </row>
    <row r="103" spans="1:18" ht="21.9" customHeight="1" thickBot="1" x14ac:dyDescent="0.35">
      <c r="A103" s="1"/>
      <c r="B103" s="7" t="s">
        <v>53</v>
      </c>
      <c r="C103" s="10"/>
      <c r="D103" s="9"/>
      <c r="E103" s="21"/>
      <c r="F103" s="22"/>
      <c r="G103" s="10"/>
      <c r="H103" s="9"/>
      <c r="I103" s="11"/>
      <c r="J103" s="150" t="str">
        <f t="shared" si="8"/>
        <v/>
      </c>
      <c r="K103" s="11"/>
      <c r="L103" s="23"/>
      <c r="M103" s="3"/>
      <c r="N103" s="3"/>
      <c r="O103" s="3"/>
      <c r="P103" s="3"/>
      <c r="Q103" s="3"/>
      <c r="R103" s="3"/>
    </row>
    <row r="104" spans="1:18" ht="21.9" customHeight="1" thickBot="1" x14ac:dyDescent="0.35">
      <c r="A104" s="1"/>
      <c r="B104" s="7" t="s">
        <v>53</v>
      </c>
      <c r="C104" s="10"/>
      <c r="D104" s="9"/>
      <c r="E104" s="21"/>
      <c r="F104" s="22"/>
      <c r="G104" s="10"/>
      <c r="H104" s="9"/>
      <c r="I104" s="11"/>
      <c r="J104" s="150" t="str">
        <f t="shared" si="8"/>
        <v/>
      </c>
      <c r="K104" s="11"/>
      <c r="L104" s="23"/>
      <c r="M104" s="3"/>
      <c r="N104" s="3"/>
      <c r="O104" s="3"/>
      <c r="P104" s="3"/>
      <c r="Q104" s="3"/>
      <c r="R104" s="3"/>
    </row>
    <row r="105" spans="1:18" ht="21.9" customHeight="1" thickBot="1" x14ac:dyDescent="0.35">
      <c r="A105" s="1"/>
      <c r="B105" s="7" t="s">
        <v>53</v>
      </c>
      <c r="C105" s="10"/>
      <c r="D105" s="9"/>
      <c r="E105" s="21"/>
      <c r="F105" s="22"/>
      <c r="G105" s="10"/>
      <c r="H105" s="9"/>
      <c r="I105" s="11"/>
      <c r="J105" s="150" t="str">
        <f t="shared" si="8"/>
        <v/>
      </c>
      <c r="K105" s="11"/>
      <c r="L105" s="23"/>
      <c r="M105" s="3"/>
      <c r="N105" s="3"/>
      <c r="O105" s="3"/>
      <c r="P105" s="3"/>
      <c r="Q105" s="3"/>
      <c r="R105" s="3"/>
    </row>
    <row r="106" spans="1:18" ht="21.9" customHeight="1" thickBot="1" x14ac:dyDescent="0.35">
      <c r="A106" s="1"/>
      <c r="B106" s="7" t="s">
        <v>53</v>
      </c>
      <c r="C106" s="10"/>
      <c r="D106" s="9"/>
      <c r="E106" s="21"/>
      <c r="F106" s="22"/>
      <c r="G106" s="10"/>
      <c r="H106" s="9"/>
      <c r="I106" s="11"/>
      <c r="J106" s="150" t="str">
        <f t="shared" si="8"/>
        <v/>
      </c>
      <c r="K106" s="11"/>
      <c r="L106" s="23"/>
      <c r="M106" s="3"/>
      <c r="N106" s="3"/>
      <c r="O106" s="3"/>
      <c r="P106" s="3"/>
      <c r="Q106" s="3"/>
      <c r="R106" s="3"/>
    </row>
    <row r="107" spans="1:18" ht="21.9" customHeight="1" thickBot="1" x14ac:dyDescent="0.35">
      <c r="A107" s="1"/>
      <c r="B107" s="7" t="s">
        <v>53</v>
      </c>
      <c r="C107" s="10"/>
      <c r="D107" s="9"/>
      <c r="E107" s="21"/>
      <c r="F107" s="22"/>
      <c r="G107" s="10"/>
      <c r="H107" s="9"/>
      <c r="I107" s="11"/>
      <c r="J107" s="150" t="str">
        <f t="shared" si="8"/>
        <v/>
      </c>
      <c r="K107" s="11"/>
      <c r="L107" s="23"/>
      <c r="M107" s="3"/>
      <c r="N107" s="3"/>
      <c r="O107" s="3"/>
      <c r="P107" s="3"/>
      <c r="Q107" s="3"/>
      <c r="R107" s="3"/>
    </row>
    <row r="108" spans="1:18" ht="21.9" customHeight="1" thickBot="1" x14ac:dyDescent="0.35">
      <c r="A108" s="1"/>
      <c r="B108" s="7" t="s">
        <v>53</v>
      </c>
      <c r="C108" s="10"/>
      <c r="D108" s="10"/>
      <c r="E108" s="21"/>
      <c r="F108" s="22"/>
      <c r="G108" s="10"/>
      <c r="H108" s="9"/>
      <c r="I108" s="11"/>
      <c r="J108" s="150" t="str">
        <f t="shared" si="8"/>
        <v/>
      </c>
      <c r="K108" s="11"/>
      <c r="L108" s="24"/>
      <c r="M108" s="3"/>
      <c r="N108" s="3"/>
      <c r="O108" s="3"/>
      <c r="P108" s="3"/>
      <c r="Q108" s="3"/>
      <c r="R108" s="3"/>
    </row>
    <row r="109" spans="1:18" ht="21.9" customHeight="1" thickBot="1" x14ac:dyDescent="0.35">
      <c r="A109" s="1"/>
      <c r="B109" s="7" t="s">
        <v>53</v>
      </c>
      <c r="C109" s="10"/>
      <c r="D109" s="10"/>
      <c r="E109" s="25"/>
      <c r="F109" s="26"/>
      <c r="G109" s="12"/>
      <c r="H109" s="27"/>
      <c r="I109" s="13"/>
      <c r="J109" s="150" t="str">
        <f t="shared" si="8"/>
        <v/>
      </c>
      <c r="K109" s="13"/>
      <c r="L109" s="24"/>
      <c r="M109" s="3"/>
      <c r="N109" s="3"/>
      <c r="O109" s="3"/>
      <c r="P109" s="3"/>
      <c r="Q109" s="3"/>
      <c r="R109" s="3"/>
    </row>
    <row r="110" spans="1:18" ht="21.9" customHeight="1" thickBot="1" x14ac:dyDescent="0.35">
      <c r="A110" s="1"/>
      <c r="B110" s="7" t="s">
        <v>53</v>
      </c>
      <c r="C110" s="10"/>
      <c r="D110" s="27"/>
      <c r="E110" s="25"/>
      <c r="F110" s="26"/>
      <c r="G110" s="12"/>
      <c r="H110" s="27"/>
      <c r="I110" s="13"/>
      <c r="J110" s="150" t="str">
        <f t="shared" si="8"/>
        <v/>
      </c>
      <c r="K110" s="13"/>
      <c r="L110" s="24"/>
      <c r="M110" s="3"/>
      <c r="N110" s="3"/>
      <c r="O110" s="3"/>
      <c r="P110" s="3"/>
      <c r="Q110" s="3"/>
      <c r="R110" s="3"/>
    </row>
    <row r="111" spans="1:18" ht="21.9" customHeight="1" thickBot="1" x14ac:dyDescent="0.35">
      <c r="A111" s="1"/>
      <c r="B111" s="7" t="s">
        <v>53</v>
      </c>
      <c r="C111" s="10"/>
      <c r="D111" s="27"/>
      <c r="E111" s="25"/>
      <c r="F111" s="26"/>
      <c r="G111" s="12"/>
      <c r="H111" s="27"/>
      <c r="I111" s="13"/>
      <c r="J111" s="150" t="str">
        <f t="shared" si="8"/>
        <v/>
      </c>
      <c r="K111" s="13"/>
      <c r="L111" s="24"/>
      <c r="M111" s="3"/>
      <c r="N111" s="3"/>
      <c r="O111" s="3"/>
      <c r="P111" s="3"/>
      <c r="Q111" s="3"/>
      <c r="R111" s="3"/>
    </row>
    <row r="112" spans="1:18" ht="21.9" customHeight="1" thickBot="1" x14ac:dyDescent="0.35">
      <c r="A112" s="1"/>
      <c r="B112" s="7" t="s">
        <v>53</v>
      </c>
      <c r="C112" s="10"/>
      <c r="D112" s="27"/>
      <c r="E112" s="25"/>
      <c r="F112" s="26"/>
      <c r="G112" s="12"/>
      <c r="H112" s="27"/>
      <c r="I112" s="13"/>
      <c r="J112" s="150" t="str">
        <f t="shared" si="8"/>
        <v/>
      </c>
      <c r="K112" s="13"/>
      <c r="L112" s="24"/>
      <c r="M112" s="3"/>
      <c r="N112" s="3"/>
      <c r="O112" s="3"/>
      <c r="P112" s="3"/>
      <c r="Q112" s="3"/>
      <c r="R112" s="3"/>
    </row>
    <row r="113" spans="1:18" ht="21.9" customHeight="1" thickBot="1" x14ac:dyDescent="0.35">
      <c r="A113" s="1"/>
      <c r="B113" s="7" t="s">
        <v>53</v>
      </c>
      <c r="C113" s="10"/>
      <c r="D113" s="27"/>
      <c r="E113" s="25"/>
      <c r="F113" s="26"/>
      <c r="G113" s="12"/>
      <c r="H113" s="27"/>
      <c r="I113" s="13"/>
      <c r="J113" s="150" t="str">
        <f t="shared" si="8"/>
        <v/>
      </c>
      <c r="K113" s="13"/>
      <c r="L113" s="24"/>
      <c r="M113" s="3"/>
      <c r="N113" s="3"/>
      <c r="O113" s="3"/>
      <c r="P113" s="3"/>
      <c r="Q113" s="3"/>
      <c r="R113" s="3"/>
    </row>
    <row r="114" spans="1:18" ht="21.9" customHeight="1" thickBot="1" x14ac:dyDescent="0.35">
      <c r="A114" s="1"/>
      <c r="B114" s="7" t="s">
        <v>53</v>
      </c>
      <c r="C114" s="10"/>
      <c r="D114" s="28"/>
      <c r="E114" s="29"/>
      <c r="F114" s="30"/>
      <c r="G114" s="14"/>
      <c r="H114" s="28"/>
      <c r="I114" s="15"/>
      <c r="J114" s="150" t="str">
        <f t="shared" si="8"/>
        <v/>
      </c>
      <c r="K114" s="15"/>
      <c r="L114" s="31"/>
      <c r="M114" s="3"/>
      <c r="N114" s="3"/>
      <c r="O114" s="3"/>
      <c r="P114" s="3"/>
      <c r="Q114" s="3"/>
      <c r="R114" s="3"/>
    </row>
    <row r="115" spans="1:18" ht="21.9" customHeight="1" thickBot="1" x14ac:dyDescent="0.35">
      <c r="A115" s="1"/>
      <c r="B115" s="6" t="s">
        <v>53</v>
      </c>
      <c r="C115" s="151">
        <f>SUM(C100:C114)</f>
        <v>0</v>
      </c>
      <c r="D115" s="76"/>
      <c r="E115" s="77"/>
      <c r="F115" s="152">
        <f t="shared" ref="F115:L115" si="9">IFERROR(AVERAGE(F100:F114),0)</f>
        <v>0</v>
      </c>
      <c r="G115" s="153">
        <f t="shared" si="9"/>
        <v>0</v>
      </c>
      <c r="H115" s="152">
        <f t="shared" si="9"/>
        <v>0</v>
      </c>
      <c r="I115" s="153">
        <f t="shared" si="9"/>
        <v>0</v>
      </c>
      <c r="J115" s="153">
        <f t="shared" si="9"/>
        <v>0</v>
      </c>
      <c r="K115" s="153">
        <f t="shared" si="9"/>
        <v>0</v>
      </c>
      <c r="L115" s="153">
        <f t="shared" si="9"/>
        <v>0</v>
      </c>
      <c r="M115" s="3"/>
      <c r="N115" s="3"/>
      <c r="O115" s="3"/>
      <c r="P115" s="3"/>
      <c r="Q115" s="3"/>
      <c r="R115" s="3"/>
    </row>
    <row r="116" spans="1:18" ht="9.9" customHeight="1" x14ac:dyDescent="0.3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1:18" ht="21.75" customHeight="1" x14ac:dyDescent="0.3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1:18" ht="21.75" customHeight="1" x14ac:dyDescent="0.3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s="83" customFormat="1" ht="20.100000000000001" customHeight="1" x14ac:dyDescent="0.3">
      <c r="A119" s="80"/>
      <c r="B119" s="213" t="s">
        <v>54</v>
      </c>
      <c r="C119" s="213"/>
      <c r="D119" s="81"/>
      <c r="E119" s="81"/>
      <c r="F119" s="81"/>
      <c r="G119" s="81"/>
      <c r="H119" s="81"/>
      <c r="I119" s="81"/>
      <c r="J119" s="81"/>
      <c r="K119" s="81"/>
      <c r="L119" s="81"/>
      <c r="M119" s="82"/>
      <c r="N119" s="82"/>
      <c r="O119" s="82"/>
      <c r="P119" s="82"/>
      <c r="Q119" s="82"/>
      <c r="R119" s="82"/>
    </row>
    <row r="120" spans="1:18" ht="9.9" customHeight="1" thickBot="1" x14ac:dyDescent="0.35">
      <c r="A120" s="1"/>
      <c r="B120" s="78"/>
      <c r="C120" s="78"/>
      <c r="D120" s="79"/>
      <c r="E120" s="79"/>
      <c r="F120" s="79"/>
      <c r="G120" s="79"/>
      <c r="H120" s="79"/>
      <c r="I120" s="79"/>
      <c r="J120" s="79"/>
      <c r="K120" s="79"/>
      <c r="L120" s="79"/>
      <c r="M120" s="3"/>
      <c r="N120" s="3"/>
      <c r="O120" s="3"/>
      <c r="P120" s="3"/>
      <c r="Q120" s="3"/>
      <c r="R120" s="3"/>
    </row>
    <row r="121" spans="1:18" ht="21.75" customHeight="1" thickBot="1" x14ac:dyDescent="0.35">
      <c r="A121" s="1"/>
      <c r="B121" s="6" t="s">
        <v>55</v>
      </c>
      <c r="C121" s="6" t="s">
        <v>40</v>
      </c>
      <c r="D121" s="6" t="s">
        <v>41</v>
      </c>
      <c r="E121" s="6" t="s">
        <v>42</v>
      </c>
      <c r="F121" s="148" t="s">
        <v>43</v>
      </c>
      <c r="G121" s="6" t="s">
        <v>44</v>
      </c>
      <c r="H121" s="6" t="s">
        <v>45</v>
      </c>
      <c r="I121" s="6" t="s">
        <v>46</v>
      </c>
      <c r="J121" s="6" t="s">
        <v>56</v>
      </c>
      <c r="K121" s="6" t="s">
        <v>48</v>
      </c>
      <c r="L121" s="6" t="s">
        <v>49</v>
      </c>
      <c r="M121" s="3"/>
      <c r="N121" s="3"/>
      <c r="O121" s="3"/>
      <c r="P121" s="3"/>
      <c r="Q121" s="3"/>
      <c r="R121" s="3"/>
    </row>
    <row r="122" spans="1:18" ht="21.75" customHeight="1" x14ac:dyDescent="0.3">
      <c r="A122" s="1"/>
      <c r="B122" s="7" t="s">
        <v>55</v>
      </c>
      <c r="C122" s="10"/>
      <c r="D122" s="9"/>
      <c r="E122" s="21"/>
      <c r="F122" s="22"/>
      <c r="G122" s="10"/>
      <c r="H122" s="9"/>
      <c r="I122" s="11"/>
      <c r="J122" s="84"/>
      <c r="K122" s="11"/>
      <c r="L122" s="23"/>
      <c r="M122" s="3"/>
      <c r="N122" s="3"/>
      <c r="O122" s="3"/>
      <c r="P122" s="3"/>
      <c r="Q122" s="3"/>
      <c r="R122" s="3"/>
    </row>
    <row r="123" spans="1:18" ht="21.75" customHeight="1" x14ac:dyDescent="0.3">
      <c r="A123" s="1"/>
      <c r="B123" s="7" t="s">
        <v>55</v>
      </c>
      <c r="C123" s="10"/>
      <c r="D123" s="9"/>
      <c r="E123" s="21"/>
      <c r="F123" s="22"/>
      <c r="G123" s="10"/>
      <c r="H123" s="9"/>
      <c r="I123" s="11"/>
      <c r="J123" s="85"/>
      <c r="K123" s="11"/>
      <c r="L123" s="23"/>
      <c r="M123" s="3"/>
      <c r="N123" s="3"/>
      <c r="O123" s="3"/>
      <c r="P123" s="3"/>
      <c r="Q123" s="3"/>
      <c r="R123" s="3"/>
    </row>
    <row r="124" spans="1:18" ht="21.75" customHeight="1" x14ac:dyDescent="0.3">
      <c r="A124" s="1"/>
      <c r="B124" s="7" t="s">
        <v>55</v>
      </c>
      <c r="C124" s="10"/>
      <c r="D124" s="9"/>
      <c r="E124" s="21"/>
      <c r="F124" s="22"/>
      <c r="G124" s="10"/>
      <c r="H124" s="9"/>
      <c r="I124" s="11"/>
      <c r="J124" s="85"/>
      <c r="K124" s="11"/>
      <c r="L124" s="23"/>
      <c r="M124" s="3"/>
      <c r="N124" s="3"/>
      <c r="O124" s="3"/>
      <c r="P124" s="3"/>
      <c r="Q124" s="3"/>
      <c r="R124" s="3"/>
    </row>
    <row r="125" spans="1:18" ht="21.75" customHeight="1" x14ac:dyDescent="0.3">
      <c r="A125" s="1"/>
      <c r="B125" s="7" t="s">
        <v>55</v>
      </c>
      <c r="C125" s="10"/>
      <c r="D125" s="9"/>
      <c r="E125" s="21"/>
      <c r="F125" s="22"/>
      <c r="G125" s="10"/>
      <c r="H125" s="9"/>
      <c r="I125" s="11"/>
      <c r="J125" s="85"/>
      <c r="K125" s="11"/>
      <c r="L125" s="23"/>
      <c r="M125" s="3"/>
      <c r="N125" s="3"/>
      <c r="O125" s="3"/>
      <c r="P125" s="3"/>
      <c r="Q125" s="3"/>
      <c r="R125" s="3"/>
    </row>
    <row r="126" spans="1:18" ht="21.75" customHeight="1" thickBot="1" x14ac:dyDescent="0.35">
      <c r="A126" s="1"/>
      <c r="B126" s="7" t="s">
        <v>55</v>
      </c>
      <c r="C126" s="10"/>
      <c r="D126" s="9"/>
      <c r="E126" s="25"/>
      <c r="F126" s="26"/>
      <c r="G126" s="12"/>
      <c r="H126" s="27"/>
      <c r="I126" s="13"/>
      <c r="J126" s="85"/>
      <c r="K126" s="13"/>
      <c r="L126" s="24"/>
      <c r="M126" s="3"/>
      <c r="N126" s="3"/>
      <c r="O126" s="3"/>
      <c r="P126" s="3"/>
      <c r="Q126" s="3"/>
      <c r="R126" s="3"/>
    </row>
    <row r="127" spans="1:18" ht="21.75" customHeight="1" thickBot="1" x14ac:dyDescent="0.35">
      <c r="A127" s="1"/>
      <c r="B127" s="6" t="s">
        <v>55</v>
      </c>
      <c r="C127" s="151">
        <f>SUM(C122:C126)</f>
        <v>0</v>
      </c>
      <c r="D127" s="76"/>
      <c r="E127" s="77"/>
      <c r="F127" s="152">
        <f t="shared" ref="F127:L127" si="10">IFERROR(AVERAGE(F122:F126),0)</f>
        <v>0</v>
      </c>
      <c r="G127" s="153">
        <f t="shared" si="10"/>
        <v>0</v>
      </c>
      <c r="H127" s="153">
        <f t="shared" si="10"/>
        <v>0</v>
      </c>
      <c r="I127" s="153">
        <f t="shared" si="10"/>
        <v>0</v>
      </c>
      <c r="J127" s="153">
        <f t="shared" si="10"/>
        <v>0</v>
      </c>
      <c r="K127" s="153">
        <f t="shared" si="10"/>
        <v>0</v>
      </c>
      <c r="L127" s="153">
        <f t="shared" si="10"/>
        <v>0</v>
      </c>
      <c r="M127" s="3"/>
      <c r="N127" s="3"/>
      <c r="O127" s="3"/>
      <c r="P127" s="3"/>
      <c r="Q127" s="3"/>
      <c r="R127" s="3"/>
    </row>
    <row r="128" spans="1:18" ht="21.9" customHeight="1" x14ac:dyDescent="0.3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1:18" ht="21.9" customHeight="1" x14ac:dyDescent="0.3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1:18" ht="20.100000000000001" customHeight="1" x14ac:dyDescent="0.3">
      <c r="A130" s="1"/>
      <c r="B130" s="213" t="s">
        <v>57</v>
      </c>
      <c r="C130" s="213"/>
      <c r="D130" s="73"/>
      <c r="E130" s="73"/>
      <c r="F130" s="73"/>
      <c r="G130" s="73"/>
      <c r="H130" s="73"/>
      <c r="I130" s="73"/>
      <c r="J130" s="73"/>
      <c r="K130" s="73"/>
      <c r="L130" s="73"/>
      <c r="M130" s="3"/>
      <c r="N130" s="3"/>
      <c r="O130" s="3"/>
      <c r="P130" s="3"/>
      <c r="Q130" s="3"/>
      <c r="R130" s="3"/>
    </row>
    <row r="131" spans="1:18" ht="9.9" customHeight="1" thickBot="1" x14ac:dyDescent="0.35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1:18" ht="21.9" customHeight="1" thickBot="1" x14ac:dyDescent="0.35">
      <c r="A132" s="1"/>
      <c r="B132" s="6" t="s">
        <v>58</v>
      </c>
      <c r="C132" s="6" t="s">
        <v>40</v>
      </c>
      <c r="D132" s="6" t="s">
        <v>41</v>
      </c>
      <c r="E132" s="6" t="s">
        <v>42</v>
      </c>
      <c r="F132" s="148" t="s">
        <v>43</v>
      </c>
      <c r="G132" s="6" t="s">
        <v>44</v>
      </c>
      <c r="H132" s="6" t="s">
        <v>45</v>
      </c>
      <c r="I132" s="6" t="s">
        <v>46</v>
      </c>
      <c r="J132" s="6" t="s">
        <v>59</v>
      </c>
      <c r="K132" s="6" t="s">
        <v>48</v>
      </c>
      <c r="L132" s="6" t="s">
        <v>49</v>
      </c>
      <c r="M132" s="3"/>
      <c r="N132" s="3"/>
      <c r="O132" s="3"/>
      <c r="P132" s="3"/>
      <c r="Q132" s="3"/>
      <c r="R132" s="3"/>
    </row>
    <row r="133" spans="1:18" ht="21.9" customHeight="1" x14ac:dyDescent="0.3">
      <c r="A133" s="1"/>
      <c r="B133" s="7" t="s">
        <v>58</v>
      </c>
      <c r="C133" s="10"/>
      <c r="D133" s="9"/>
      <c r="E133" s="21"/>
      <c r="F133" s="22"/>
      <c r="G133" s="10"/>
      <c r="H133" s="9"/>
      <c r="I133" s="11"/>
      <c r="J133" s="84"/>
      <c r="K133" s="11"/>
      <c r="L133" s="23"/>
      <c r="M133" s="3"/>
      <c r="N133" s="3"/>
      <c r="O133" s="3"/>
      <c r="P133" s="3"/>
      <c r="Q133" s="3"/>
      <c r="R133" s="3"/>
    </row>
    <row r="134" spans="1:18" ht="21.9" customHeight="1" x14ac:dyDescent="0.3">
      <c r="A134" s="1"/>
      <c r="B134" s="7" t="s">
        <v>58</v>
      </c>
      <c r="C134" s="10"/>
      <c r="D134" s="9"/>
      <c r="E134" s="21"/>
      <c r="F134" s="22"/>
      <c r="G134" s="10"/>
      <c r="H134" s="9"/>
      <c r="I134" s="11"/>
      <c r="J134" s="84"/>
      <c r="K134" s="11"/>
      <c r="L134" s="23"/>
      <c r="M134" s="3"/>
      <c r="N134" s="3"/>
      <c r="O134" s="3"/>
      <c r="P134" s="3"/>
      <c r="Q134" s="3"/>
      <c r="R134" s="3"/>
    </row>
    <row r="135" spans="1:18" ht="21.9" customHeight="1" x14ac:dyDescent="0.3">
      <c r="A135" s="1"/>
      <c r="B135" s="7" t="s">
        <v>58</v>
      </c>
      <c r="C135" s="10"/>
      <c r="D135" s="9"/>
      <c r="E135" s="21"/>
      <c r="F135" s="22"/>
      <c r="G135" s="10"/>
      <c r="H135" s="9"/>
      <c r="I135" s="11"/>
      <c r="J135" s="84"/>
      <c r="K135" s="11"/>
      <c r="L135" s="23"/>
      <c r="M135" s="3"/>
      <c r="N135" s="3"/>
      <c r="O135" s="3"/>
      <c r="P135" s="3"/>
      <c r="Q135" s="3"/>
      <c r="R135" s="3"/>
    </row>
    <row r="136" spans="1:18" ht="21.9" customHeight="1" x14ac:dyDescent="0.3">
      <c r="A136" s="1"/>
      <c r="B136" s="7" t="s">
        <v>58</v>
      </c>
      <c r="C136" s="10"/>
      <c r="D136" s="9"/>
      <c r="E136" s="21"/>
      <c r="F136" s="22"/>
      <c r="G136" s="10"/>
      <c r="H136" s="9"/>
      <c r="I136" s="11"/>
      <c r="J136" s="84"/>
      <c r="K136" s="11"/>
      <c r="L136" s="23"/>
      <c r="M136" s="3"/>
      <c r="N136" s="3"/>
      <c r="O136" s="3"/>
      <c r="P136" s="3"/>
      <c r="Q136" s="3"/>
      <c r="R136" s="3"/>
    </row>
    <row r="137" spans="1:18" ht="21.9" customHeight="1" thickBot="1" x14ac:dyDescent="0.35">
      <c r="A137" s="1"/>
      <c r="B137" s="7" t="s">
        <v>58</v>
      </c>
      <c r="C137" s="10"/>
      <c r="D137" s="9"/>
      <c r="E137" s="21"/>
      <c r="F137" s="22"/>
      <c r="G137" s="10"/>
      <c r="H137" s="9"/>
      <c r="I137" s="11"/>
      <c r="J137" s="84"/>
      <c r="K137" s="11"/>
      <c r="L137" s="23"/>
      <c r="M137" s="3"/>
      <c r="N137" s="3"/>
      <c r="O137" s="3"/>
      <c r="P137" s="3"/>
      <c r="Q137" s="3"/>
      <c r="R137" s="3"/>
    </row>
    <row r="138" spans="1:18" ht="21.9" customHeight="1" thickBot="1" x14ac:dyDescent="0.35">
      <c r="A138" s="1"/>
      <c r="B138" s="6" t="s">
        <v>58</v>
      </c>
      <c r="C138" s="151">
        <f>SUM(C133:C137)</f>
        <v>0</v>
      </c>
      <c r="D138" s="76"/>
      <c r="E138" s="77"/>
      <c r="F138" s="152">
        <f t="shared" ref="F138:L138" si="11">IFERROR(AVERAGE(F133:F137),0)</f>
        <v>0</v>
      </c>
      <c r="G138" s="153">
        <f t="shared" si="11"/>
        <v>0</v>
      </c>
      <c r="H138" s="153">
        <f t="shared" si="11"/>
        <v>0</v>
      </c>
      <c r="I138" s="153">
        <f t="shared" si="11"/>
        <v>0</v>
      </c>
      <c r="J138" s="153">
        <f t="shared" si="11"/>
        <v>0</v>
      </c>
      <c r="K138" s="153">
        <f t="shared" si="11"/>
        <v>0</v>
      </c>
      <c r="L138" s="153">
        <f t="shared" si="11"/>
        <v>0</v>
      </c>
      <c r="M138" s="3"/>
      <c r="N138" s="3"/>
      <c r="O138" s="3"/>
      <c r="P138" s="3"/>
      <c r="Q138" s="3"/>
      <c r="R138" s="3"/>
    </row>
    <row r="139" spans="1:18" ht="21.9" customHeight="1" x14ac:dyDescent="0.3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 ht="21.9" customHeight="1" x14ac:dyDescent="0.3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 s="83" customFormat="1" ht="20.100000000000001" customHeight="1" x14ac:dyDescent="0.3">
      <c r="A141" s="80"/>
      <c r="B141" s="213" t="s">
        <v>60</v>
      </c>
      <c r="C141" s="213"/>
      <c r="D141" s="81"/>
      <c r="E141" s="81"/>
      <c r="F141" s="81"/>
      <c r="G141" s="81"/>
      <c r="H141" s="81"/>
      <c r="I141" s="81"/>
      <c r="J141" s="81"/>
      <c r="K141" s="81"/>
      <c r="L141" s="81"/>
      <c r="M141" s="82"/>
      <c r="N141" s="82"/>
      <c r="O141" s="82"/>
      <c r="P141" s="82"/>
      <c r="Q141" s="82"/>
      <c r="R141" s="82"/>
    </row>
    <row r="142" spans="1:18" ht="8.1" customHeight="1" thickBot="1" x14ac:dyDescent="0.35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ht="21.9" customHeight="1" thickBot="1" x14ac:dyDescent="0.35">
      <c r="A143" s="1"/>
      <c r="B143" s="6" t="s">
        <v>61</v>
      </c>
      <c r="C143" s="6" t="s">
        <v>40</v>
      </c>
      <c r="D143" s="6" t="s">
        <v>41</v>
      </c>
      <c r="E143" s="6" t="s">
        <v>42</v>
      </c>
      <c r="F143" s="148" t="s">
        <v>43</v>
      </c>
      <c r="G143" s="6" t="s">
        <v>44</v>
      </c>
      <c r="H143" s="6" t="s">
        <v>45</v>
      </c>
      <c r="I143" s="6" t="s">
        <v>46</v>
      </c>
      <c r="J143" s="6" t="s">
        <v>59</v>
      </c>
      <c r="K143" s="6" t="s">
        <v>48</v>
      </c>
      <c r="L143" s="6" t="s">
        <v>49</v>
      </c>
      <c r="M143" s="3"/>
      <c r="N143" s="3"/>
      <c r="O143" s="3"/>
      <c r="P143" s="3"/>
      <c r="Q143" s="3"/>
      <c r="R143" s="3"/>
    </row>
    <row r="144" spans="1:18" ht="21.9" customHeight="1" x14ac:dyDescent="0.3">
      <c r="A144" s="1"/>
      <c r="B144" s="7" t="s">
        <v>61</v>
      </c>
      <c r="C144" s="10"/>
      <c r="D144" s="9"/>
      <c r="E144" s="21"/>
      <c r="F144" s="22"/>
      <c r="G144" s="10"/>
      <c r="H144" s="9"/>
      <c r="I144" s="11"/>
      <c r="J144" s="84"/>
      <c r="K144" s="11"/>
      <c r="L144" s="23"/>
      <c r="M144" s="3"/>
      <c r="N144" s="3"/>
      <c r="O144" s="3"/>
      <c r="P144" s="3"/>
      <c r="Q144" s="3"/>
      <c r="R144" s="3"/>
    </row>
    <row r="145" spans="1:18" ht="21.9" customHeight="1" x14ac:dyDescent="0.3">
      <c r="A145" s="1"/>
      <c r="B145" s="7" t="s">
        <v>61</v>
      </c>
      <c r="C145" s="10"/>
      <c r="D145" s="9"/>
      <c r="E145" s="21"/>
      <c r="F145" s="22"/>
      <c r="G145" s="10"/>
      <c r="H145" s="9"/>
      <c r="I145" s="11"/>
      <c r="J145" s="84"/>
      <c r="K145" s="11"/>
      <c r="L145" s="23"/>
      <c r="M145" s="3"/>
      <c r="N145" s="3"/>
      <c r="O145" s="3"/>
      <c r="P145" s="3"/>
      <c r="Q145" s="3"/>
      <c r="R145" s="3"/>
    </row>
    <row r="146" spans="1:18" ht="21.9" customHeight="1" x14ac:dyDescent="0.3">
      <c r="A146" s="1"/>
      <c r="B146" s="7" t="s">
        <v>61</v>
      </c>
      <c r="C146" s="10"/>
      <c r="D146" s="9"/>
      <c r="E146" s="21"/>
      <c r="F146" s="22"/>
      <c r="G146" s="10"/>
      <c r="H146" s="9"/>
      <c r="I146" s="11"/>
      <c r="J146" s="84"/>
      <c r="K146" s="11"/>
      <c r="L146" s="23"/>
      <c r="M146" s="3"/>
      <c r="N146" s="3"/>
      <c r="O146" s="3"/>
      <c r="P146" s="3"/>
      <c r="Q146" s="3"/>
      <c r="R146" s="3"/>
    </row>
    <row r="147" spans="1:18" ht="21.9" customHeight="1" x14ac:dyDescent="0.3">
      <c r="A147" s="1"/>
      <c r="B147" s="7" t="s">
        <v>61</v>
      </c>
      <c r="C147" s="10"/>
      <c r="D147" s="9"/>
      <c r="E147" s="21"/>
      <c r="F147" s="22"/>
      <c r="G147" s="10"/>
      <c r="H147" s="9"/>
      <c r="I147" s="11"/>
      <c r="J147" s="84"/>
      <c r="K147" s="11"/>
      <c r="L147" s="23"/>
      <c r="M147" s="3"/>
      <c r="N147" s="3"/>
      <c r="O147" s="3"/>
      <c r="P147" s="3"/>
      <c r="Q147" s="3"/>
      <c r="R147" s="3"/>
    </row>
    <row r="148" spans="1:18" ht="21.9" customHeight="1" thickBot="1" x14ac:dyDescent="0.35">
      <c r="A148" s="1"/>
      <c r="B148" s="7" t="s">
        <v>61</v>
      </c>
      <c r="C148" s="10"/>
      <c r="D148" s="9"/>
      <c r="E148" s="21"/>
      <c r="F148" s="22"/>
      <c r="G148" s="10"/>
      <c r="H148" s="9"/>
      <c r="I148" s="11"/>
      <c r="J148" s="84"/>
      <c r="K148" s="11"/>
      <c r="L148" s="23"/>
      <c r="M148" s="3"/>
      <c r="N148" s="3"/>
      <c r="O148" s="3"/>
      <c r="P148" s="3"/>
      <c r="Q148" s="3"/>
      <c r="R148" s="3"/>
    </row>
    <row r="149" spans="1:18" ht="21.9" customHeight="1" thickBot="1" x14ac:dyDescent="0.35">
      <c r="A149" s="1"/>
      <c r="B149" s="6" t="s">
        <v>61</v>
      </c>
      <c r="C149" s="151">
        <f>SUM(C144:C148)</f>
        <v>0</v>
      </c>
      <c r="D149" s="76"/>
      <c r="E149" s="77"/>
      <c r="F149" s="152">
        <f>IFERROR(AVERAGE(F144:F148),0)</f>
        <v>0</v>
      </c>
      <c r="G149" s="153">
        <f t="shared" ref="G149:L149" si="12">IFERROR(AVERAGE(G144:G148),0)</f>
        <v>0</v>
      </c>
      <c r="H149" s="153">
        <f t="shared" si="12"/>
        <v>0</v>
      </c>
      <c r="I149" s="153">
        <f t="shared" si="12"/>
        <v>0</v>
      </c>
      <c r="J149" s="153">
        <f t="shared" si="12"/>
        <v>0</v>
      </c>
      <c r="K149" s="153">
        <f t="shared" si="12"/>
        <v>0</v>
      </c>
      <c r="L149" s="153">
        <f t="shared" si="12"/>
        <v>0</v>
      </c>
      <c r="M149" s="3"/>
      <c r="N149" s="3"/>
      <c r="O149" s="3"/>
      <c r="P149" s="3"/>
      <c r="Q149" s="3"/>
      <c r="R149" s="3"/>
    </row>
    <row r="150" spans="1:18" ht="21.9" customHeight="1" x14ac:dyDescent="0.3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ht="21.9" customHeight="1" x14ac:dyDescent="0.3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1:18" ht="20.100000000000001" customHeight="1" x14ac:dyDescent="0.3">
      <c r="A152" s="1"/>
      <c r="B152" s="213" t="s">
        <v>62</v>
      </c>
      <c r="C152" s="213"/>
      <c r="D152" s="73"/>
      <c r="E152" s="73"/>
      <c r="F152" s="73"/>
      <c r="G152" s="73"/>
      <c r="H152" s="73"/>
      <c r="I152" s="73"/>
      <c r="J152" s="73"/>
      <c r="K152" s="73"/>
      <c r="L152" s="73"/>
      <c r="M152" s="3"/>
      <c r="N152" s="3"/>
      <c r="O152" s="3"/>
      <c r="P152" s="3"/>
      <c r="Q152" s="3"/>
      <c r="R152" s="3"/>
    </row>
    <row r="153" spans="1:18" ht="9.9" customHeight="1" thickBot="1" x14ac:dyDescent="0.35">
      <c r="A153" s="1"/>
      <c r="B153" s="74"/>
      <c r="C153" s="86"/>
      <c r="D153" s="74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1:18" ht="21.9" customHeight="1" thickBot="1" x14ac:dyDescent="0.35">
      <c r="A154" s="1"/>
      <c r="B154" s="6" t="s">
        <v>63</v>
      </c>
      <c r="C154" s="6" t="s">
        <v>64</v>
      </c>
      <c r="D154" s="6" t="s">
        <v>65</v>
      </c>
      <c r="E154" s="143" t="s">
        <v>41</v>
      </c>
      <c r="F154" s="6" t="s">
        <v>42</v>
      </c>
      <c r="G154" s="6" t="s">
        <v>44</v>
      </c>
      <c r="H154" s="6" t="s">
        <v>43</v>
      </c>
      <c r="I154" s="6" t="s">
        <v>66</v>
      </c>
      <c r="J154" s="6" t="s">
        <v>67</v>
      </c>
      <c r="K154" s="6" t="s">
        <v>68</v>
      </c>
      <c r="L154" s="6" t="s">
        <v>49</v>
      </c>
      <c r="M154" s="3"/>
      <c r="N154" s="3"/>
      <c r="O154" s="3"/>
      <c r="P154" s="3"/>
      <c r="Q154" s="3"/>
      <c r="R154" s="3"/>
    </row>
    <row r="155" spans="1:18" ht="21.9" customHeight="1" x14ac:dyDescent="0.3">
      <c r="A155" s="1"/>
      <c r="B155" s="50" t="s">
        <v>63</v>
      </c>
      <c r="C155" s="8"/>
      <c r="D155" s="8"/>
      <c r="E155" s="17"/>
      <c r="F155" s="17"/>
      <c r="G155" s="87"/>
      <c r="H155" s="19"/>
      <c r="I155" s="88"/>
      <c r="J155" s="19"/>
      <c r="K155" s="19"/>
      <c r="L155" s="20"/>
      <c r="M155" s="3"/>
      <c r="N155" s="3"/>
      <c r="O155" s="3"/>
      <c r="P155" s="3"/>
      <c r="Q155" s="3"/>
      <c r="R155" s="3"/>
    </row>
    <row r="156" spans="1:18" ht="21.9" customHeight="1" x14ac:dyDescent="0.3">
      <c r="A156" s="1"/>
      <c r="B156" s="7" t="s">
        <v>63</v>
      </c>
      <c r="C156" s="10"/>
      <c r="D156" s="10"/>
      <c r="E156" s="21"/>
      <c r="F156" s="21"/>
      <c r="G156" s="89"/>
      <c r="H156" s="11"/>
      <c r="I156" s="90"/>
      <c r="J156" s="11"/>
      <c r="K156" s="11"/>
      <c r="L156" s="23"/>
      <c r="M156" s="3"/>
      <c r="N156" s="3"/>
      <c r="O156" s="3"/>
      <c r="P156" s="3"/>
      <c r="Q156" s="3"/>
      <c r="R156" s="3"/>
    </row>
    <row r="157" spans="1:18" ht="21.9" hidden="1" customHeight="1" x14ac:dyDescent="0.3">
      <c r="A157" s="1"/>
      <c r="B157" s="7" t="s">
        <v>63</v>
      </c>
      <c r="C157" s="10"/>
      <c r="D157" s="10"/>
      <c r="E157" s="21"/>
      <c r="F157" s="21"/>
      <c r="G157" s="89"/>
      <c r="H157" s="11"/>
      <c r="I157" s="90"/>
      <c r="J157" s="11"/>
      <c r="K157" s="11"/>
      <c r="L157" s="23"/>
      <c r="M157" s="3"/>
      <c r="N157" s="3"/>
      <c r="O157" s="3"/>
      <c r="P157" s="3"/>
      <c r="Q157" s="3"/>
      <c r="R157" s="3"/>
    </row>
    <row r="158" spans="1:18" ht="21.9" hidden="1" customHeight="1" x14ac:dyDescent="0.3">
      <c r="A158" s="1"/>
      <c r="B158" s="7" t="s">
        <v>63</v>
      </c>
      <c r="C158" s="10"/>
      <c r="D158" s="10"/>
      <c r="E158" s="21"/>
      <c r="F158" s="21"/>
      <c r="G158" s="89"/>
      <c r="H158" s="11"/>
      <c r="I158" s="90"/>
      <c r="J158" s="11"/>
      <c r="K158" s="11"/>
      <c r="L158" s="23"/>
      <c r="M158" s="3"/>
      <c r="N158" s="3"/>
      <c r="O158" s="3"/>
      <c r="P158" s="3"/>
      <c r="Q158" s="3"/>
      <c r="R158" s="3"/>
    </row>
    <row r="159" spans="1:18" ht="21.9" hidden="1" customHeight="1" x14ac:dyDescent="0.3">
      <c r="A159" s="1"/>
      <c r="B159" s="7" t="s">
        <v>63</v>
      </c>
      <c r="C159" s="10"/>
      <c r="D159" s="10"/>
      <c r="E159" s="21"/>
      <c r="F159" s="21"/>
      <c r="G159" s="89"/>
      <c r="H159" s="11"/>
      <c r="I159" s="90"/>
      <c r="J159" s="11"/>
      <c r="K159" s="11"/>
      <c r="L159" s="23"/>
      <c r="M159" s="3"/>
      <c r="N159" s="3"/>
      <c r="O159" s="3"/>
      <c r="P159" s="3"/>
      <c r="Q159" s="3"/>
      <c r="R159" s="3"/>
    </row>
    <row r="160" spans="1:18" ht="21.9" hidden="1" customHeight="1" x14ac:dyDescent="0.3">
      <c r="A160" s="1"/>
      <c r="B160" s="7" t="s">
        <v>63</v>
      </c>
      <c r="C160" s="10"/>
      <c r="D160" s="10"/>
      <c r="E160" s="21"/>
      <c r="F160" s="21"/>
      <c r="G160" s="89"/>
      <c r="H160" s="11"/>
      <c r="I160" s="90"/>
      <c r="J160" s="11"/>
      <c r="K160" s="11"/>
      <c r="L160" s="23"/>
      <c r="M160" s="3"/>
      <c r="N160" s="3"/>
      <c r="O160" s="3"/>
      <c r="P160" s="3"/>
      <c r="Q160" s="3"/>
      <c r="R160" s="3"/>
    </row>
    <row r="161" spans="1:18" ht="21.9" hidden="1" customHeight="1" x14ac:dyDescent="0.3">
      <c r="A161" s="1"/>
      <c r="B161" s="7" t="s">
        <v>63</v>
      </c>
      <c r="C161" s="10"/>
      <c r="D161" s="10"/>
      <c r="E161" s="25"/>
      <c r="F161" s="25"/>
      <c r="G161" s="91"/>
      <c r="H161" s="13"/>
      <c r="I161" s="92"/>
      <c r="J161" s="13"/>
      <c r="K161" s="13"/>
      <c r="L161" s="24"/>
      <c r="M161" s="3"/>
      <c r="N161" s="3"/>
      <c r="O161" s="3"/>
      <c r="P161" s="3"/>
      <c r="Q161" s="3"/>
      <c r="R161" s="3"/>
    </row>
    <row r="162" spans="1:18" ht="21.9" customHeight="1" x14ac:dyDescent="0.3">
      <c r="A162" s="1"/>
      <c r="B162" s="7" t="s">
        <v>63</v>
      </c>
      <c r="C162" s="10"/>
      <c r="D162" s="10"/>
      <c r="E162" s="25"/>
      <c r="F162" s="25"/>
      <c r="G162" s="91"/>
      <c r="H162" s="13"/>
      <c r="I162" s="92"/>
      <c r="J162" s="13"/>
      <c r="K162" s="13"/>
      <c r="L162" s="24"/>
      <c r="M162" s="3"/>
      <c r="N162" s="3"/>
      <c r="O162" s="3"/>
      <c r="P162" s="3"/>
      <c r="Q162" s="3"/>
      <c r="R162" s="3"/>
    </row>
    <row r="163" spans="1:18" ht="21.9" customHeight="1" x14ac:dyDescent="0.3">
      <c r="A163" s="1"/>
      <c r="B163" s="7" t="s">
        <v>63</v>
      </c>
      <c r="C163" s="10"/>
      <c r="D163" s="10"/>
      <c r="E163" s="25"/>
      <c r="F163" s="25"/>
      <c r="G163" s="91"/>
      <c r="H163" s="13"/>
      <c r="I163" s="92"/>
      <c r="J163" s="13"/>
      <c r="K163" s="13"/>
      <c r="L163" s="24"/>
      <c r="M163" s="3"/>
      <c r="N163" s="3"/>
      <c r="O163" s="3"/>
      <c r="P163" s="3"/>
      <c r="Q163" s="3"/>
      <c r="R163" s="3"/>
    </row>
    <row r="164" spans="1:18" ht="21.9" customHeight="1" thickBot="1" x14ac:dyDescent="0.35">
      <c r="A164" s="1"/>
      <c r="B164" s="21" t="s">
        <v>63</v>
      </c>
      <c r="C164" s="10"/>
      <c r="D164" s="10"/>
      <c r="E164" s="25"/>
      <c r="F164" s="25"/>
      <c r="G164" s="91"/>
      <c r="H164" s="13"/>
      <c r="I164" s="92"/>
      <c r="J164" s="13"/>
      <c r="K164" s="13"/>
      <c r="L164" s="24"/>
      <c r="M164" s="3"/>
      <c r="N164" s="3"/>
      <c r="O164" s="3"/>
      <c r="P164" s="3"/>
      <c r="Q164" s="3"/>
      <c r="R164" s="3"/>
    </row>
    <row r="165" spans="1:18" ht="21.9" customHeight="1" thickBot="1" x14ac:dyDescent="0.35">
      <c r="A165" s="1"/>
      <c r="B165" s="6" t="s">
        <v>63</v>
      </c>
      <c r="C165" s="151">
        <f>SUM(C155:C164)</f>
        <v>0</v>
      </c>
      <c r="D165" s="151">
        <f>SUM(D155:D164)</f>
        <v>0</v>
      </c>
      <c r="E165" s="76"/>
      <c r="F165" s="154"/>
      <c r="G165" s="153">
        <f>IFERROR(AVERAGE(G155:G164),0)</f>
        <v>0</v>
      </c>
      <c r="H165" s="153">
        <f>IFERROR(AVERAGE(H155:H164),0)</f>
        <v>0</v>
      </c>
      <c r="I165" s="155">
        <v>6.6666666666666666E-2</v>
      </c>
      <c r="J165" s="156"/>
      <c r="K165" s="153">
        <f>IFERROR(AVERAGE(K155:K164),0)</f>
        <v>0</v>
      </c>
      <c r="L165" s="153">
        <f>IFERROR(AVERAGE(L155:L164),0)</f>
        <v>0</v>
      </c>
      <c r="M165" s="3"/>
      <c r="N165" s="3"/>
      <c r="O165" s="3"/>
      <c r="P165" s="3"/>
      <c r="Q165" s="3"/>
      <c r="R165" s="3"/>
    </row>
    <row r="166" spans="1:18" ht="21.9" customHeight="1" thickBot="1" x14ac:dyDescent="0.35">
      <c r="A166" s="1"/>
      <c r="B166" s="93"/>
      <c r="C166" s="94"/>
      <c r="D166" s="94"/>
      <c r="E166" s="95"/>
      <c r="F166" s="95"/>
      <c r="G166" s="96"/>
      <c r="H166" s="96"/>
      <c r="I166" s="96"/>
      <c r="J166" s="97"/>
      <c r="K166" s="96"/>
      <c r="L166" s="96"/>
      <c r="M166" s="3"/>
      <c r="N166" s="3"/>
      <c r="O166" s="3"/>
      <c r="P166" s="3"/>
      <c r="Q166" s="3"/>
      <c r="R166" s="3"/>
    </row>
    <row r="167" spans="1:18" ht="21.9" customHeight="1" thickBot="1" x14ac:dyDescent="0.35">
      <c r="A167" s="1"/>
      <c r="B167" s="6" t="s">
        <v>69</v>
      </c>
      <c r="C167" s="6" t="s">
        <v>64</v>
      </c>
      <c r="D167" s="6" t="s">
        <v>65</v>
      </c>
      <c r="E167" s="143" t="s">
        <v>41</v>
      </c>
      <c r="F167" s="6" t="s">
        <v>42</v>
      </c>
      <c r="G167" s="6" t="s">
        <v>44</v>
      </c>
      <c r="H167" s="6" t="s">
        <v>43</v>
      </c>
      <c r="I167" s="6" t="s">
        <v>66</v>
      </c>
      <c r="J167" s="6" t="s">
        <v>67</v>
      </c>
      <c r="K167" s="6" t="s">
        <v>68</v>
      </c>
      <c r="L167" s="6" t="s">
        <v>49</v>
      </c>
      <c r="M167" s="3"/>
      <c r="N167" s="3"/>
      <c r="O167" s="3"/>
      <c r="P167" s="3"/>
      <c r="Q167" s="3"/>
      <c r="R167" s="3"/>
    </row>
    <row r="168" spans="1:18" ht="21.9" customHeight="1" x14ac:dyDescent="0.3">
      <c r="A168" s="1"/>
      <c r="B168" s="25" t="s">
        <v>69</v>
      </c>
      <c r="C168" s="24"/>
      <c r="D168" s="24"/>
      <c r="E168" s="25"/>
      <c r="F168" s="25"/>
      <c r="G168" s="98"/>
      <c r="H168" s="13"/>
      <c r="I168" s="88"/>
      <c r="J168" s="13"/>
      <c r="K168" s="13"/>
      <c r="L168" s="24"/>
      <c r="M168" s="3"/>
      <c r="N168" s="3"/>
      <c r="O168" s="3"/>
      <c r="P168" s="3"/>
      <c r="Q168" s="3"/>
      <c r="R168" s="3"/>
    </row>
    <row r="169" spans="1:18" ht="21.9" customHeight="1" x14ac:dyDescent="0.3">
      <c r="A169" s="1"/>
      <c r="B169" s="25" t="s">
        <v>69</v>
      </c>
      <c r="C169" s="24"/>
      <c r="D169" s="24"/>
      <c r="E169" s="25"/>
      <c r="F169" s="25"/>
      <c r="G169" s="98"/>
      <c r="H169" s="13"/>
      <c r="I169" s="90"/>
      <c r="J169" s="13"/>
      <c r="K169" s="13"/>
      <c r="L169" s="24"/>
      <c r="M169" s="3"/>
      <c r="N169" s="3"/>
      <c r="O169" s="3"/>
      <c r="P169" s="3"/>
      <c r="Q169" s="3"/>
      <c r="R169" s="3"/>
    </row>
    <row r="170" spans="1:18" ht="21.9" customHeight="1" x14ac:dyDescent="0.3">
      <c r="A170" s="1"/>
      <c r="B170" s="25" t="s">
        <v>69</v>
      </c>
      <c r="C170" s="24"/>
      <c r="D170" s="24"/>
      <c r="E170" s="25"/>
      <c r="F170" s="25"/>
      <c r="G170" s="98"/>
      <c r="H170" s="13"/>
      <c r="I170" s="90"/>
      <c r="J170" s="13"/>
      <c r="K170" s="13"/>
      <c r="L170" s="24"/>
      <c r="M170" s="3"/>
      <c r="N170" s="3"/>
      <c r="O170" s="3"/>
      <c r="P170" s="3"/>
      <c r="Q170" s="3"/>
      <c r="R170" s="3"/>
    </row>
    <row r="171" spans="1:18" ht="21.9" customHeight="1" x14ac:dyDescent="0.3">
      <c r="A171" s="1"/>
      <c r="B171" s="25" t="s">
        <v>69</v>
      </c>
      <c r="C171" s="24"/>
      <c r="D171" s="24"/>
      <c r="E171" s="25"/>
      <c r="F171" s="25"/>
      <c r="G171" s="98"/>
      <c r="H171" s="13"/>
      <c r="I171" s="90"/>
      <c r="J171" s="13"/>
      <c r="K171" s="13"/>
      <c r="L171" s="24"/>
      <c r="M171" s="3"/>
      <c r="N171" s="3"/>
      <c r="O171" s="3"/>
      <c r="P171" s="3"/>
      <c r="Q171" s="3"/>
      <c r="R171" s="3"/>
    </row>
    <row r="172" spans="1:18" ht="21.9" hidden="1" customHeight="1" x14ac:dyDescent="0.3">
      <c r="A172" s="1"/>
      <c r="B172" s="25" t="s">
        <v>69</v>
      </c>
      <c r="C172" s="24"/>
      <c r="D172" s="24"/>
      <c r="E172" s="25"/>
      <c r="F172" s="25"/>
      <c r="G172" s="98"/>
      <c r="H172" s="13"/>
      <c r="I172" s="90"/>
      <c r="J172" s="13"/>
      <c r="K172" s="13"/>
      <c r="L172" s="24"/>
      <c r="M172" s="3"/>
      <c r="N172" s="3"/>
      <c r="O172" s="3"/>
      <c r="P172" s="3"/>
      <c r="Q172" s="3"/>
      <c r="R172" s="3"/>
    </row>
    <row r="173" spans="1:18" ht="21.9" hidden="1" customHeight="1" x14ac:dyDescent="0.3">
      <c r="A173" s="1"/>
      <c r="B173" s="25" t="s">
        <v>69</v>
      </c>
      <c r="C173" s="24"/>
      <c r="D173" s="24"/>
      <c r="E173" s="25"/>
      <c r="F173" s="25"/>
      <c r="G173" s="98"/>
      <c r="H173" s="13"/>
      <c r="I173" s="90"/>
      <c r="J173" s="13"/>
      <c r="K173" s="13"/>
      <c r="L173" s="24"/>
      <c r="M173" s="3"/>
      <c r="N173" s="3"/>
      <c r="O173" s="3"/>
      <c r="P173" s="3"/>
      <c r="Q173" s="3"/>
      <c r="R173" s="3"/>
    </row>
    <row r="174" spans="1:18" ht="21.9" hidden="1" customHeight="1" x14ac:dyDescent="0.3">
      <c r="A174" s="1"/>
      <c r="B174" s="25" t="s">
        <v>69</v>
      </c>
      <c r="C174" s="24"/>
      <c r="D174" s="24"/>
      <c r="E174" s="25"/>
      <c r="F174" s="25"/>
      <c r="G174" s="98"/>
      <c r="H174" s="13"/>
      <c r="I174" s="92"/>
      <c r="J174" s="13"/>
      <c r="K174" s="13"/>
      <c r="L174" s="24"/>
      <c r="M174" s="3"/>
      <c r="N174" s="3"/>
      <c r="O174" s="3"/>
      <c r="P174" s="3"/>
      <c r="Q174" s="3"/>
      <c r="R174" s="3"/>
    </row>
    <row r="175" spans="1:18" ht="21.9" hidden="1" customHeight="1" x14ac:dyDescent="0.3">
      <c r="A175" s="1"/>
      <c r="B175" s="25" t="s">
        <v>69</v>
      </c>
      <c r="C175" s="24"/>
      <c r="D175" s="24"/>
      <c r="E175" s="25"/>
      <c r="F175" s="25"/>
      <c r="G175" s="98"/>
      <c r="H175" s="13"/>
      <c r="I175" s="92"/>
      <c r="J175" s="13"/>
      <c r="K175" s="13"/>
      <c r="L175" s="24"/>
      <c r="M175" s="3"/>
      <c r="N175" s="3"/>
      <c r="O175" s="3"/>
      <c r="P175" s="3"/>
      <c r="Q175" s="3"/>
      <c r="R175" s="3"/>
    </row>
    <row r="176" spans="1:18" ht="21.9" hidden="1" customHeight="1" x14ac:dyDescent="0.3">
      <c r="A176" s="1"/>
      <c r="B176" s="25" t="s">
        <v>69</v>
      </c>
      <c r="C176" s="24"/>
      <c r="D176" s="24"/>
      <c r="E176" s="25"/>
      <c r="F176" s="25"/>
      <c r="G176" s="98"/>
      <c r="H176" s="13"/>
      <c r="I176" s="92"/>
      <c r="J176" s="13"/>
      <c r="K176" s="13"/>
      <c r="L176" s="24"/>
      <c r="M176" s="3"/>
      <c r="N176" s="3"/>
      <c r="O176" s="3"/>
      <c r="P176" s="3"/>
      <c r="Q176" s="3"/>
      <c r="R176" s="3"/>
    </row>
    <row r="177" spans="1:18" ht="21.9" customHeight="1" thickBot="1" x14ac:dyDescent="0.35">
      <c r="A177" s="99"/>
      <c r="B177" s="100" t="s">
        <v>69</v>
      </c>
      <c r="C177" s="32"/>
      <c r="D177" s="32"/>
      <c r="E177" s="100"/>
      <c r="F177" s="100"/>
      <c r="G177" s="101"/>
      <c r="H177" s="102"/>
      <c r="I177" s="92"/>
      <c r="J177" s="102"/>
      <c r="K177" s="102"/>
      <c r="L177" s="32"/>
      <c r="M177" s="3"/>
      <c r="N177" s="3"/>
      <c r="O177" s="3"/>
      <c r="P177" s="3"/>
      <c r="Q177" s="3"/>
      <c r="R177" s="3"/>
    </row>
    <row r="178" spans="1:18" ht="21.9" customHeight="1" thickBot="1" x14ac:dyDescent="0.35">
      <c r="A178" s="103"/>
      <c r="B178" s="6" t="s">
        <v>69</v>
      </c>
      <c r="C178" s="151">
        <f>SUM(C168:C177)</f>
        <v>0</v>
      </c>
      <c r="D178" s="151">
        <f>SUM(D168:D177)</f>
        <v>0</v>
      </c>
      <c r="E178" s="76"/>
      <c r="F178" s="154"/>
      <c r="G178" s="153">
        <f>IFERROR(AVERAGE(G168:G177),0)</f>
        <v>0</v>
      </c>
      <c r="H178" s="153">
        <f>IFERROR(AVERAGE(H168:H177),0)</f>
        <v>0</v>
      </c>
      <c r="I178" s="155">
        <f>IFERROR(AVERAGE(I168:I177),0)</f>
        <v>0</v>
      </c>
      <c r="J178" s="156"/>
      <c r="K178" s="153">
        <f>IFERROR(AVERAGE(K168:K177),0)</f>
        <v>0</v>
      </c>
      <c r="L178" s="153">
        <f>IFERROR(AVERAGE(L168:L177),0)</f>
        <v>0</v>
      </c>
      <c r="M178" s="3"/>
      <c r="N178" s="3"/>
      <c r="O178" s="3"/>
      <c r="P178" s="3"/>
      <c r="Q178" s="3"/>
      <c r="R178" s="3"/>
    </row>
    <row r="179" spans="1:18" ht="21.9" customHeight="1" thickBot="1" x14ac:dyDescent="0.35">
      <c r="A179" s="1"/>
      <c r="B179" s="93"/>
      <c r="C179" s="94"/>
      <c r="D179" s="94"/>
      <c r="E179" s="95"/>
      <c r="F179" s="95"/>
      <c r="G179" s="96"/>
      <c r="H179" s="96"/>
      <c r="I179" s="96"/>
      <c r="J179" s="97"/>
      <c r="K179" s="96"/>
      <c r="L179" s="96"/>
      <c r="M179" s="3"/>
      <c r="N179" s="3"/>
      <c r="O179" s="3"/>
      <c r="P179" s="3"/>
      <c r="Q179" s="3"/>
      <c r="R179" s="3"/>
    </row>
    <row r="180" spans="1:18" ht="21.75" customHeight="1" thickBot="1" x14ac:dyDescent="0.35">
      <c r="A180" s="1"/>
      <c r="B180" s="6" t="s">
        <v>70</v>
      </c>
      <c r="C180" s="6" t="s">
        <v>64</v>
      </c>
      <c r="D180" s="6" t="s">
        <v>65</v>
      </c>
      <c r="E180" s="143" t="s">
        <v>41</v>
      </c>
      <c r="F180" s="6" t="s">
        <v>42</v>
      </c>
      <c r="G180" s="6" t="s">
        <v>44</v>
      </c>
      <c r="H180" s="6" t="s">
        <v>43</v>
      </c>
      <c r="I180" s="6" t="s">
        <v>66</v>
      </c>
      <c r="J180" s="6" t="s">
        <v>67</v>
      </c>
      <c r="K180" s="6" t="s">
        <v>68</v>
      </c>
      <c r="L180" s="6" t="s">
        <v>49</v>
      </c>
      <c r="M180" s="33"/>
      <c r="N180" s="3"/>
      <c r="O180" s="3"/>
      <c r="P180" s="3"/>
      <c r="Q180" s="3"/>
      <c r="R180" s="3"/>
    </row>
    <row r="181" spans="1:18" ht="21.75" customHeight="1" x14ac:dyDescent="0.3">
      <c r="A181" s="1"/>
      <c r="B181" s="50" t="s">
        <v>70</v>
      </c>
      <c r="C181" s="8"/>
      <c r="D181" s="8"/>
      <c r="E181" s="17"/>
      <c r="F181" s="17"/>
      <c r="G181" s="87"/>
      <c r="H181" s="19"/>
      <c r="I181" s="88"/>
      <c r="J181" s="19"/>
      <c r="K181" s="19"/>
      <c r="L181" s="20"/>
      <c r="M181" s="33"/>
      <c r="N181" s="3"/>
      <c r="O181" s="3"/>
      <c r="P181" s="3"/>
      <c r="Q181" s="3"/>
      <c r="R181" s="3"/>
    </row>
    <row r="182" spans="1:18" ht="21.75" customHeight="1" x14ac:dyDescent="0.3">
      <c r="A182" s="1"/>
      <c r="B182" s="7" t="s">
        <v>70</v>
      </c>
      <c r="C182" s="10"/>
      <c r="D182" s="10"/>
      <c r="E182" s="25"/>
      <c r="F182" s="25"/>
      <c r="G182" s="91"/>
      <c r="H182" s="13"/>
      <c r="I182" s="92"/>
      <c r="J182" s="13"/>
      <c r="K182" s="13"/>
      <c r="L182" s="24"/>
      <c r="M182" s="33"/>
      <c r="N182" s="3"/>
      <c r="O182" s="3"/>
      <c r="P182" s="3"/>
      <c r="Q182" s="3"/>
      <c r="R182" s="3"/>
    </row>
    <row r="183" spans="1:18" ht="21.75" customHeight="1" x14ac:dyDescent="0.3">
      <c r="A183" s="1"/>
      <c r="B183" s="7" t="s">
        <v>70</v>
      </c>
      <c r="C183" s="10"/>
      <c r="D183" s="10"/>
      <c r="E183" s="25"/>
      <c r="F183" s="25"/>
      <c r="G183" s="91"/>
      <c r="H183" s="13"/>
      <c r="I183" s="92"/>
      <c r="J183" s="13"/>
      <c r="K183" s="13"/>
      <c r="L183" s="24"/>
      <c r="M183" s="33"/>
      <c r="N183" s="3"/>
      <c r="O183" s="3"/>
      <c r="P183" s="3"/>
      <c r="Q183" s="3"/>
      <c r="R183" s="3"/>
    </row>
    <row r="184" spans="1:18" ht="21.75" customHeight="1" x14ac:dyDescent="0.3">
      <c r="A184" s="1"/>
      <c r="B184" s="7" t="s">
        <v>70</v>
      </c>
      <c r="C184" s="10"/>
      <c r="D184" s="10"/>
      <c r="E184" s="25"/>
      <c r="F184" s="25"/>
      <c r="G184" s="91"/>
      <c r="H184" s="13"/>
      <c r="I184" s="92"/>
      <c r="J184" s="13"/>
      <c r="K184" s="13"/>
      <c r="L184" s="24"/>
      <c r="M184" s="33"/>
      <c r="N184" s="3"/>
      <c r="O184" s="3"/>
      <c r="P184" s="3"/>
      <c r="Q184" s="3"/>
      <c r="R184" s="3"/>
    </row>
    <row r="185" spans="1:18" ht="21.75" customHeight="1" thickBot="1" x14ac:dyDescent="0.35">
      <c r="A185" s="1"/>
      <c r="B185" s="104" t="s">
        <v>70</v>
      </c>
      <c r="C185" s="10"/>
      <c r="D185" s="10"/>
      <c r="E185" s="25"/>
      <c r="F185" s="25"/>
      <c r="G185" s="91"/>
      <c r="H185" s="13"/>
      <c r="I185" s="92"/>
      <c r="J185" s="13"/>
      <c r="K185" s="13"/>
      <c r="L185" s="24"/>
      <c r="M185" s="33"/>
      <c r="N185" s="3"/>
      <c r="O185" s="3"/>
      <c r="P185" s="3"/>
      <c r="Q185" s="3"/>
      <c r="R185" s="3"/>
    </row>
    <row r="186" spans="1:18" ht="21.75" customHeight="1" thickBot="1" x14ac:dyDescent="0.35">
      <c r="A186" s="1"/>
      <c r="B186" s="6" t="s">
        <v>70</v>
      </c>
      <c r="C186" s="151">
        <f>SUM(C181:C185)</f>
        <v>0</v>
      </c>
      <c r="D186" s="151">
        <f>SUM(D181:D185)</f>
        <v>0</v>
      </c>
      <c r="E186" s="76"/>
      <c r="F186" s="154"/>
      <c r="G186" s="153">
        <f>IFERROR(AVERAGE(G181:G185),0)</f>
        <v>0</v>
      </c>
      <c r="H186" s="153">
        <f>IFERROR(AVERAGE(H181:H185),0)</f>
        <v>0</v>
      </c>
      <c r="I186" s="155">
        <f>IFERROR(AVERAGE(I181:I185),0)</f>
        <v>0</v>
      </c>
      <c r="J186" s="156"/>
      <c r="K186" s="153">
        <f>IFERROR(AVERAGE(K181:K185),0)</f>
        <v>0</v>
      </c>
      <c r="L186" s="153">
        <f>IFERROR(AVERAGE(L181:L185),0)</f>
        <v>0</v>
      </c>
      <c r="M186" s="33"/>
      <c r="N186" s="3"/>
      <c r="O186" s="3"/>
      <c r="P186" s="3"/>
      <c r="Q186" s="3"/>
      <c r="R186" s="3"/>
    </row>
    <row r="187" spans="1:18" ht="21.75" customHeight="1" thickBot="1" x14ac:dyDescent="0.35">
      <c r="A187" s="1"/>
      <c r="B187" s="93"/>
      <c r="C187" s="94"/>
      <c r="D187" s="94"/>
      <c r="E187" s="95"/>
      <c r="F187" s="95"/>
      <c r="G187" s="96"/>
      <c r="H187" s="96"/>
      <c r="I187" s="96"/>
      <c r="J187" s="97"/>
      <c r="K187" s="96"/>
      <c r="L187" s="96"/>
      <c r="M187" s="33"/>
      <c r="N187" s="3"/>
      <c r="O187" s="3"/>
      <c r="P187" s="3"/>
      <c r="Q187" s="3"/>
      <c r="R187" s="3"/>
    </row>
    <row r="188" spans="1:18" ht="21.75" customHeight="1" thickBot="1" x14ac:dyDescent="0.35">
      <c r="A188" s="1"/>
      <c r="B188" s="6" t="s">
        <v>71</v>
      </c>
      <c r="C188" s="6" t="s">
        <v>64</v>
      </c>
      <c r="D188" s="6" t="s">
        <v>65</v>
      </c>
      <c r="E188" s="143" t="s">
        <v>41</v>
      </c>
      <c r="F188" s="6" t="s">
        <v>42</v>
      </c>
      <c r="G188" s="6" t="s">
        <v>44</v>
      </c>
      <c r="H188" s="6" t="s">
        <v>43</v>
      </c>
      <c r="I188" s="6" t="s">
        <v>66</v>
      </c>
      <c r="J188" s="6" t="s">
        <v>67</v>
      </c>
      <c r="K188" s="6" t="s">
        <v>68</v>
      </c>
      <c r="L188" s="6" t="s">
        <v>49</v>
      </c>
      <c r="M188" s="33"/>
      <c r="N188" s="3"/>
      <c r="O188" s="3"/>
      <c r="P188" s="3"/>
      <c r="Q188" s="3"/>
      <c r="R188" s="3"/>
    </row>
    <row r="189" spans="1:18" ht="21.75" customHeight="1" x14ac:dyDescent="0.3">
      <c r="A189" s="1"/>
      <c r="B189" s="25" t="s">
        <v>71</v>
      </c>
      <c r="C189" s="24"/>
      <c r="D189" s="24"/>
      <c r="E189" s="25"/>
      <c r="F189" s="25"/>
      <c r="G189" s="98"/>
      <c r="H189" s="13"/>
      <c r="I189" s="88"/>
      <c r="J189" s="13"/>
      <c r="K189" s="13"/>
      <c r="L189" s="24"/>
      <c r="M189" s="33"/>
      <c r="N189" s="3"/>
      <c r="O189" s="3"/>
      <c r="P189" s="3"/>
      <c r="Q189" s="3"/>
      <c r="R189" s="3"/>
    </row>
    <row r="190" spans="1:18" ht="21.75" customHeight="1" x14ac:dyDescent="0.3">
      <c r="A190" s="1"/>
      <c r="B190" s="25" t="s">
        <v>71</v>
      </c>
      <c r="C190" s="24"/>
      <c r="D190" s="24"/>
      <c r="E190" s="25"/>
      <c r="F190" s="25"/>
      <c r="G190" s="98"/>
      <c r="H190" s="13"/>
      <c r="I190" s="92"/>
      <c r="J190" s="13"/>
      <c r="K190" s="13"/>
      <c r="L190" s="24"/>
      <c r="M190" s="33"/>
      <c r="N190" s="3"/>
      <c r="O190" s="3"/>
      <c r="P190" s="3"/>
      <c r="Q190" s="3"/>
      <c r="R190" s="3"/>
    </row>
    <row r="191" spans="1:18" ht="21.75" customHeight="1" x14ac:dyDescent="0.3">
      <c r="A191" s="1"/>
      <c r="B191" s="25" t="s">
        <v>71</v>
      </c>
      <c r="C191" s="24"/>
      <c r="D191" s="24"/>
      <c r="E191" s="25"/>
      <c r="F191" s="25"/>
      <c r="G191" s="98"/>
      <c r="H191" s="13"/>
      <c r="I191" s="92"/>
      <c r="J191" s="13"/>
      <c r="K191" s="13"/>
      <c r="L191" s="24"/>
      <c r="M191" s="33"/>
      <c r="N191" s="3"/>
      <c r="O191" s="3"/>
      <c r="P191" s="3"/>
      <c r="Q191" s="3"/>
      <c r="R191" s="3"/>
    </row>
    <row r="192" spans="1:18" ht="21.75" customHeight="1" x14ac:dyDescent="0.3">
      <c r="A192" s="1"/>
      <c r="B192" s="25" t="s">
        <v>71</v>
      </c>
      <c r="C192" s="24"/>
      <c r="D192" s="24"/>
      <c r="E192" s="25"/>
      <c r="F192" s="25"/>
      <c r="G192" s="98"/>
      <c r="H192" s="13"/>
      <c r="I192" s="92"/>
      <c r="J192" s="13"/>
      <c r="K192" s="13"/>
      <c r="L192" s="24"/>
      <c r="M192" s="33"/>
      <c r="N192" s="3"/>
      <c r="O192" s="3"/>
      <c r="P192" s="3"/>
      <c r="Q192" s="3"/>
      <c r="R192" s="3"/>
    </row>
    <row r="193" spans="1:18" ht="21.75" customHeight="1" thickBot="1" x14ac:dyDescent="0.35">
      <c r="A193" s="1"/>
      <c r="B193" s="25" t="s">
        <v>71</v>
      </c>
      <c r="C193" s="32"/>
      <c r="D193" s="32"/>
      <c r="E193" s="100"/>
      <c r="F193" s="100"/>
      <c r="G193" s="101"/>
      <c r="H193" s="102"/>
      <c r="I193" s="92"/>
      <c r="J193" s="102"/>
      <c r="K193" s="102"/>
      <c r="L193" s="32"/>
      <c r="M193" s="33"/>
      <c r="N193" s="3"/>
      <c r="O193" s="3"/>
      <c r="P193" s="3"/>
      <c r="Q193" s="3"/>
      <c r="R193" s="3"/>
    </row>
    <row r="194" spans="1:18" ht="21.75" customHeight="1" thickBot="1" x14ac:dyDescent="0.35">
      <c r="A194" s="1"/>
      <c r="B194" s="6" t="s">
        <v>71</v>
      </c>
      <c r="C194" s="151">
        <f>SUM(C189:C193)</f>
        <v>0</v>
      </c>
      <c r="D194" s="151">
        <f>SUM(D189:D193)</f>
        <v>0</v>
      </c>
      <c r="E194" s="76"/>
      <c r="F194" s="154"/>
      <c r="G194" s="153">
        <f>IFERROR(AVERAGE(G189:G193),0)</f>
        <v>0</v>
      </c>
      <c r="H194" s="153">
        <f>IFERROR(AVERAGE(H189:H193),0)</f>
        <v>0</v>
      </c>
      <c r="I194" s="155">
        <f>IFERROR(AVERAGE(I189:I193),0)</f>
        <v>0</v>
      </c>
      <c r="J194" s="156"/>
      <c r="K194" s="153">
        <f>IFERROR(AVERAGE(K189:K193),0)</f>
        <v>0</v>
      </c>
      <c r="L194" s="153">
        <f>IFERROR(AVERAGE(L189:L193),0)</f>
        <v>0</v>
      </c>
      <c r="M194" s="33"/>
      <c r="N194" s="3"/>
      <c r="O194" s="3"/>
      <c r="P194" s="3"/>
      <c r="Q194" s="3"/>
      <c r="R194" s="3"/>
    </row>
    <row r="195" spans="1:18" ht="21.75" customHeight="1" x14ac:dyDescent="0.3">
      <c r="A195" s="1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"/>
      <c r="O195" s="3"/>
      <c r="P195" s="3"/>
      <c r="Q195" s="3"/>
      <c r="R195" s="3"/>
    </row>
    <row r="196" spans="1:18" ht="21.9" customHeight="1" x14ac:dyDescent="0.3">
      <c r="A196" s="1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"/>
      <c r="O196" s="3"/>
      <c r="P196" s="3"/>
      <c r="Q196" s="3"/>
      <c r="R196" s="3"/>
    </row>
    <row r="197" spans="1:18" ht="20.100000000000001" customHeight="1" x14ac:dyDescent="0.3">
      <c r="A197" s="1"/>
      <c r="B197" s="213" t="s">
        <v>72</v>
      </c>
      <c r="C197" s="213"/>
      <c r="D197" s="105"/>
      <c r="E197" s="105"/>
      <c r="F197" s="105"/>
      <c r="G197" s="105"/>
      <c r="H197" s="105"/>
      <c r="I197" s="105"/>
      <c r="J197" s="105"/>
      <c r="K197" s="33"/>
      <c r="L197" s="33"/>
      <c r="M197" s="33"/>
      <c r="N197" s="3"/>
      <c r="O197" s="3"/>
      <c r="P197" s="3"/>
      <c r="Q197" s="3"/>
      <c r="R197" s="3"/>
    </row>
    <row r="198" spans="1:18" ht="9.9" customHeight="1" thickBot="1" x14ac:dyDescent="0.35">
      <c r="A198" s="1"/>
      <c r="B198" s="106"/>
      <c r="C198" s="106"/>
      <c r="D198" s="106"/>
      <c r="E198" s="106"/>
      <c r="F198" s="106"/>
      <c r="G198" s="106"/>
      <c r="H198" s="106"/>
      <c r="I198" s="106"/>
      <c r="J198" s="106"/>
      <c r="K198" s="33"/>
      <c r="L198" s="33"/>
      <c r="M198" s="33"/>
      <c r="N198" s="3"/>
      <c r="O198" s="3"/>
      <c r="P198" s="3"/>
      <c r="Q198" s="3"/>
      <c r="R198" s="3"/>
    </row>
    <row r="199" spans="1:18" ht="21.9" customHeight="1" thickBot="1" x14ac:dyDescent="0.35">
      <c r="A199" s="1"/>
      <c r="B199" s="157" t="s">
        <v>73</v>
      </c>
      <c r="C199" s="158" t="s">
        <v>74</v>
      </c>
      <c r="D199" s="159" t="s">
        <v>75</v>
      </c>
      <c r="E199" s="160" t="s">
        <v>76</v>
      </c>
      <c r="F199" s="159" t="s">
        <v>77</v>
      </c>
      <c r="G199" s="160" t="s">
        <v>78</v>
      </c>
      <c r="H199" s="160" t="s">
        <v>79</v>
      </c>
      <c r="I199" s="160" t="s">
        <v>80</v>
      </c>
      <c r="J199" s="201"/>
      <c r="K199" s="33"/>
      <c r="L199" s="33"/>
      <c r="M199" s="3"/>
      <c r="N199" s="3"/>
      <c r="O199" s="3"/>
      <c r="P199" s="3"/>
      <c r="Q199" s="3"/>
      <c r="R199" s="3"/>
    </row>
    <row r="200" spans="1:18" ht="21.9" customHeight="1" thickBot="1" x14ac:dyDescent="0.35">
      <c r="A200" s="1"/>
      <c r="B200" s="107" t="s">
        <v>81</v>
      </c>
      <c r="C200" s="34" t="s">
        <v>81</v>
      </c>
      <c r="D200" s="35"/>
      <c r="E200" s="34"/>
      <c r="F200" s="108"/>
      <c r="G200" s="161" t="s">
        <v>82</v>
      </c>
      <c r="H200" s="170">
        <f>K34</f>
        <v>0</v>
      </c>
      <c r="I200" s="34" t="s">
        <v>418</v>
      </c>
      <c r="J200" s="202"/>
      <c r="K200" s="3"/>
      <c r="L200" s="3"/>
      <c r="M200" s="3"/>
      <c r="N200" s="3"/>
      <c r="O200" s="3"/>
      <c r="P200" s="3"/>
      <c r="Q200" s="3"/>
      <c r="R200" s="3"/>
    </row>
    <row r="201" spans="1:18" ht="21.9" customHeight="1" thickBot="1" x14ac:dyDescent="0.35">
      <c r="A201" s="1"/>
      <c r="B201" s="109"/>
      <c r="C201" s="110"/>
      <c r="D201" s="111"/>
      <c r="E201" s="110"/>
      <c r="F201" s="112"/>
      <c r="G201" s="162" t="s">
        <v>82</v>
      </c>
      <c r="H201" s="170">
        <f t="shared" ref="H201:H204" si="13">K35</f>
        <v>0</v>
      </c>
      <c r="I201" s="110"/>
      <c r="J201" s="202"/>
      <c r="K201" s="3"/>
      <c r="L201" s="3"/>
      <c r="M201" s="3"/>
      <c r="N201" s="3"/>
      <c r="O201" s="3"/>
      <c r="P201" s="3"/>
      <c r="Q201" s="3"/>
      <c r="R201" s="3"/>
    </row>
    <row r="202" spans="1:18" ht="21.9" customHeight="1" thickBot="1" x14ac:dyDescent="0.35">
      <c r="A202" s="1"/>
      <c r="B202" s="113"/>
      <c r="C202" s="114"/>
      <c r="D202" s="115"/>
      <c r="E202" s="114"/>
      <c r="F202" s="116"/>
      <c r="G202" s="162" t="s">
        <v>82</v>
      </c>
      <c r="H202" s="170">
        <f t="shared" si="13"/>
        <v>0</v>
      </c>
      <c r="I202" s="114"/>
      <c r="J202" s="202"/>
      <c r="K202" s="3"/>
      <c r="L202" s="3"/>
      <c r="M202" s="3"/>
      <c r="N202" s="3"/>
      <c r="O202" s="3"/>
      <c r="P202" s="3"/>
      <c r="Q202" s="3"/>
      <c r="R202" s="3"/>
    </row>
    <row r="203" spans="1:18" ht="21.9" customHeight="1" thickBot="1" x14ac:dyDescent="0.35">
      <c r="A203" s="1"/>
      <c r="B203" s="117"/>
      <c r="C203" s="114"/>
      <c r="D203" s="115"/>
      <c r="E203" s="114"/>
      <c r="F203" s="116"/>
      <c r="G203" s="162" t="s">
        <v>82</v>
      </c>
      <c r="H203" s="170">
        <f t="shared" si="13"/>
        <v>0</v>
      </c>
      <c r="I203" s="114"/>
      <c r="J203" s="202"/>
      <c r="K203" s="3"/>
      <c r="L203" s="3"/>
      <c r="M203" s="3"/>
      <c r="N203" s="3"/>
      <c r="O203" s="3"/>
      <c r="P203" s="3"/>
      <c r="Q203" s="3"/>
      <c r="R203" s="3"/>
    </row>
    <row r="204" spans="1:18" ht="22.5" customHeight="1" thickBot="1" x14ac:dyDescent="0.35">
      <c r="A204" s="1"/>
      <c r="B204" s="118"/>
      <c r="C204" s="114"/>
      <c r="D204" s="115"/>
      <c r="E204" s="114"/>
      <c r="F204" s="116"/>
      <c r="G204" s="163" t="s">
        <v>82</v>
      </c>
      <c r="H204" s="170">
        <f t="shared" si="13"/>
        <v>0</v>
      </c>
      <c r="I204" s="114"/>
      <c r="J204" s="203"/>
      <c r="K204" s="3"/>
      <c r="L204" s="3"/>
      <c r="M204" s="3"/>
      <c r="N204" s="3"/>
      <c r="O204" s="3"/>
      <c r="P204" s="3"/>
      <c r="Q204" s="3"/>
      <c r="R204" s="3"/>
    </row>
    <row r="205" spans="1:18" ht="21.9" customHeight="1" thickBot="1" x14ac:dyDescent="0.35">
      <c r="A205" s="1"/>
      <c r="B205" s="119"/>
      <c r="C205" s="164"/>
      <c r="D205" s="69">
        <f>SUM(D200:D204)</f>
        <v>0</v>
      </c>
      <c r="E205" s="165">
        <f>SUM(E200:E204)</f>
        <v>0</v>
      </c>
      <c r="F205" s="164"/>
      <c r="G205" s="164"/>
      <c r="H205" s="69">
        <f>SUM(H200:H204)</f>
        <v>0</v>
      </c>
      <c r="I205" s="164"/>
      <c r="J205" s="166"/>
      <c r="K205" s="3"/>
      <c r="L205" s="3"/>
      <c r="M205" s="3"/>
      <c r="N205" s="3"/>
      <c r="O205" s="3"/>
      <c r="P205" s="3"/>
      <c r="Q205" s="3"/>
      <c r="R205" s="3"/>
    </row>
    <row r="206" spans="1:18" ht="20.100000000000001" customHeight="1" x14ac:dyDescent="0.3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spans="1:18" x14ac:dyDescent="0.3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spans="1:18" ht="21.9" customHeight="1" x14ac:dyDescent="0.3">
      <c r="A208" s="1"/>
      <c r="B208" s="213" t="s">
        <v>83</v>
      </c>
      <c r="C208" s="213"/>
      <c r="D208" s="105"/>
      <c r="E208" s="105"/>
      <c r="F208" s="105"/>
      <c r="G208" s="105"/>
      <c r="H208" s="105"/>
      <c r="I208" s="105"/>
      <c r="J208" s="105"/>
      <c r="K208" s="3"/>
      <c r="L208" s="3"/>
      <c r="M208" s="3"/>
      <c r="N208" s="3"/>
      <c r="O208" s="3"/>
      <c r="P208" s="3"/>
      <c r="Q208" s="3"/>
      <c r="R208" s="3"/>
    </row>
    <row r="209" spans="1:18" ht="9.9" customHeight="1" thickBot="1" x14ac:dyDescent="0.35">
      <c r="A209" s="1"/>
      <c r="B209" s="106"/>
      <c r="C209" s="106"/>
      <c r="D209" s="106"/>
      <c r="E209" s="106"/>
      <c r="F209" s="106"/>
      <c r="G209" s="106"/>
      <c r="H209" s="106"/>
      <c r="I209" s="106"/>
      <c r="J209" s="106"/>
      <c r="K209" s="3"/>
      <c r="L209" s="3"/>
      <c r="M209" s="3"/>
      <c r="N209" s="3"/>
      <c r="O209" s="3"/>
      <c r="P209" s="3"/>
      <c r="Q209" s="3"/>
      <c r="R209" s="3"/>
    </row>
    <row r="210" spans="1:18" ht="21.9" customHeight="1" thickBot="1" x14ac:dyDescent="0.35">
      <c r="A210" s="1"/>
      <c r="B210" s="157" t="s">
        <v>73</v>
      </c>
      <c r="C210" s="157" t="s">
        <v>74</v>
      </c>
      <c r="D210" s="160" t="s">
        <v>84</v>
      </c>
      <c r="E210" s="160" t="s">
        <v>85</v>
      </c>
      <c r="F210" s="167" t="s">
        <v>86</v>
      </c>
      <c r="G210" s="160" t="s">
        <v>78</v>
      </c>
      <c r="H210" s="160" t="s">
        <v>79</v>
      </c>
      <c r="I210" s="160" t="s">
        <v>87</v>
      </c>
      <c r="J210" s="168" t="s">
        <v>88</v>
      </c>
      <c r="K210" s="3"/>
      <c r="L210" s="3"/>
      <c r="M210" s="3"/>
      <c r="N210" s="3"/>
      <c r="O210" s="3"/>
      <c r="P210" s="3"/>
      <c r="Q210" s="3"/>
      <c r="R210" s="3"/>
    </row>
    <row r="211" spans="1:18" ht="21.9" customHeight="1" thickBot="1" x14ac:dyDescent="0.35">
      <c r="A211" s="1"/>
      <c r="B211" s="120"/>
      <c r="C211" s="121"/>
      <c r="D211" s="17"/>
      <c r="E211" s="8"/>
      <c r="F211" s="8"/>
      <c r="G211" s="169" t="s">
        <v>82</v>
      </c>
      <c r="H211" s="170">
        <f>K45</f>
        <v>0</v>
      </c>
      <c r="I211" s="17"/>
      <c r="J211" s="171">
        <f>IFERROR(D211*E211*F211/144,"")</f>
        <v>0</v>
      </c>
      <c r="K211" s="3"/>
      <c r="L211" s="3"/>
      <c r="M211" s="3"/>
      <c r="N211" s="3"/>
      <c r="O211" s="3"/>
      <c r="P211" s="3"/>
      <c r="Q211" s="3"/>
      <c r="R211" s="3"/>
    </row>
    <row r="212" spans="1:18" ht="21.9" customHeight="1" thickBot="1" x14ac:dyDescent="0.35">
      <c r="A212" s="1"/>
      <c r="B212" s="122"/>
      <c r="C212" s="123"/>
      <c r="D212" s="21"/>
      <c r="E212" s="10"/>
      <c r="F212" s="10"/>
      <c r="G212" s="162" t="s">
        <v>82</v>
      </c>
      <c r="H212" s="170">
        <f t="shared" ref="H212:H215" si="14">K46</f>
        <v>0</v>
      </c>
      <c r="I212" s="21"/>
      <c r="J212" s="171">
        <f>IFERROR(D212*E212*F212/144,"")</f>
        <v>0</v>
      </c>
      <c r="K212" s="3"/>
      <c r="L212" s="3"/>
      <c r="M212" s="3"/>
      <c r="N212" s="3"/>
      <c r="O212" s="3"/>
      <c r="P212" s="3"/>
      <c r="Q212" s="3"/>
      <c r="R212" s="3"/>
    </row>
    <row r="213" spans="1:18" ht="24" customHeight="1" thickBot="1" x14ac:dyDescent="0.35">
      <c r="A213" s="1"/>
      <c r="B213" s="122"/>
      <c r="C213" s="123"/>
      <c r="D213" s="21"/>
      <c r="E213" s="10"/>
      <c r="F213" s="10"/>
      <c r="G213" s="162" t="s">
        <v>82</v>
      </c>
      <c r="H213" s="170">
        <f t="shared" si="14"/>
        <v>0</v>
      </c>
      <c r="I213" s="21"/>
      <c r="J213" s="171">
        <f>IFERROR(D213*E213*F213/144,"")</f>
        <v>0</v>
      </c>
      <c r="K213" s="3"/>
      <c r="L213" s="3"/>
      <c r="M213" s="3"/>
      <c r="N213" s="3"/>
      <c r="O213" s="3"/>
      <c r="P213" s="3"/>
      <c r="Q213" s="3"/>
      <c r="R213" s="3"/>
    </row>
    <row r="214" spans="1:18" ht="24" customHeight="1" thickBot="1" x14ac:dyDescent="0.35">
      <c r="A214" s="1"/>
      <c r="B214" s="122"/>
      <c r="C214" s="123"/>
      <c r="D214" s="21"/>
      <c r="E214" s="10"/>
      <c r="F214" s="10"/>
      <c r="G214" s="162" t="s">
        <v>82</v>
      </c>
      <c r="H214" s="170">
        <f t="shared" si="14"/>
        <v>0</v>
      </c>
      <c r="I214" s="21"/>
      <c r="J214" s="171">
        <f>IFERROR(D214*E214*F214/144,"")</f>
        <v>0</v>
      </c>
      <c r="K214" s="3"/>
      <c r="L214" s="3"/>
      <c r="M214" s="3"/>
      <c r="N214" s="3"/>
      <c r="O214" s="3"/>
      <c r="P214" s="3"/>
      <c r="Q214" s="3"/>
      <c r="R214" s="3"/>
    </row>
    <row r="215" spans="1:18" ht="24" customHeight="1" thickBot="1" x14ac:dyDescent="0.35">
      <c r="A215" s="1"/>
      <c r="B215" s="124"/>
      <c r="C215" s="125"/>
      <c r="D215" s="104"/>
      <c r="E215" s="126"/>
      <c r="F215" s="126"/>
      <c r="G215" s="163" t="s">
        <v>82</v>
      </c>
      <c r="H215" s="170">
        <f t="shared" si="14"/>
        <v>0</v>
      </c>
      <c r="I215" s="104"/>
      <c r="J215" s="172">
        <f>IFERROR(D215*E215*F215/144,"")</f>
        <v>0</v>
      </c>
      <c r="K215" s="3"/>
      <c r="L215" s="3"/>
      <c r="M215" s="3"/>
      <c r="N215" s="3"/>
      <c r="O215" s="3"/>
      <c r="P215" s="3"/>
      <c r="Q215" s="3"/>
      <c r="R215" s="3"/>
    </row>
    <row r="216" spans="1:18" ht="21.75" customHeight="1" thickBot="1" x14ac:dyDescent="0.35">
      <c r="A216" s="119"/>
      <c r="B216" s="164"/>
      <c r="C216" s="164"/>
      <c r="D216" s="69">
        <f>SUM(D211:D215)</f>
        <v>0</v>
      </c>
      <c r="E216" s="69">
        <f>SUM(E211:E215)</f>
        <v>0</v>
      </c>
      <c r="F216" s="69">
        <f>SUM(F211:F215)</f>
        <v>0</v>
      </c>
      <c r="G216" s="164"/>
      <c r="H216" s="69">
        <f>SUM(H211:H215)</f>
        <v>0</v>
      </c>
      <c r="I216" s="166"/>
      <c r="J216" s="173">
        <f>SUM(J211:J215)</f>
        <v>0</v>
      </c>
      <c r="K216" s="3"/>
      <c r="L216" s="3"/>
      <c r="M216" s="3"/>
      <c r="N216" s="3"/>
      <c r="O216" s="3"/>
      <c r="P216" s="3"/>
      <c r="Q216" s="3"/>
      <c r="R216" s="3"/>
    </row>
    <row r="217" spans="1:18" x14ac:dyDescent="0.3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spans="1:18" x14ac:dyDescent="0.3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spans="1:18" ht="21" customHeight="1" x14ac:dyDescent="0.3">
      <c r="A219" s="1"/>
      <c r="B219" s="213" t="s">
        <v>89</v>
      </c>
      <c r="C219" s="213"/>
      <c r="D219" s="105"/>
      <c r="E219" s="105"/>
      <c r="F219" s="105"/>
      <c r="G219" s="105"/>
      <c r="H219" s="105"/>
      <c r="I219" s="105"/>
      <c r="J219" s="105"/>
      <c r="K219" s="3"/>
      <c r="L219" s="3"/>
      <c r="M219" s="3"/>
      <c r="N219" s="3"/>
      <c r="O219" s="3"/>
      <c r="P219" s="3"/>
      <c r="Q219" s="3"/>
      <c r="R219" s="3"/>
    </row>
    <row r="220" spans="1:18" ht="14.4" thickBot="1" x14ac:dyDescent="0.35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spans="1:18" ht="24" customHeight="1" thickBot="1" x14ac:dyDescent="0.35">
      <c r="A221" s="1"/>
      <c r="B221" s="215" t="s">
        <v>90</v>
      </c>
      <c r="C221" s="216"/>
      <c r="D221" s="174" t="s">
        <v>91</v>
      </c>
      <c r="E221" s="36" t="s">
        <v>92</v>
      </c>
      <c r="F221" s="36" t="s">
        <v>93</v>
      </c>
      <c r="G221" s="3"/>
      <c r="H221" s="37" t="s">
        <v>94</v>
      </c>
      <c r="I221" s="38"/>
      <c r="J221" s="3"/>
      <c r="K221" s="38"/>
      <c r="L221" s="38"/>
      <c r="M221" s="3"/>
      <c r="N221" s="3"/>
      <c r="O221" s="3"/>
      <c r="P221" s="3"/>
      <c r="Q221" s="3"/>
      <c r="R221" s="3"/>
    </row>
    <row r="222" spans="1:18" ht="24" customHeight="1" x14ac:dyDescent="0.3">
      <c r="A222" s="1"/>
      <c r="B222" s="206" t="s">
        <v>95</v>
      </c>
      <c r="C222" s="207"/>
      <c r="D222" s="8"/>
      <c r="E222" s="8"/>
      <c r="F222" s="8"/>
      <c r="G222" s="3"/>
      <c r="H222" s="39" t="s">
        <v>96</v>
      </c>
      <c r="I222" s="3"/>
      <c r="J222" s="40"/>
      <c r="K222" s="3"/>
      <c r="L222" s="3"/>
      <c r="M222" s="3"/>
      <c r="N222" s="3"/>
      <c r="O222" s="3"/>
      <c r="P222" s="3"/>
      <c r="Q222" s="3"/>
      <c r="R222" s="3"/>
    </row>
    <row r="223" spans="1:18" ht="24" customHeight="1" x14ac:dyDescent="0.3">
      <c r="A223" s="1"/>
      <c r="B223" s="206" t="s">
        <v>97</v>
      </c>
      <c r="C223" s="207"/>
      <c r="D223" s="10"/>
      <c r="E223" s="10"/>
      <c r="F223" s="10"/>
      <c r="G223" s="3"/>
      <c r="H223" s="4" t="s">
        <v>98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spans="1:18" ht="24" customHeight="1" x14ac:dyDescent="0.3">
      <c r="A224" s="1"/>
      <c r="B224" s="206" t="s">
        <v>99</v>
      </c>
      <c r="C224" s="207"/>
      <c r="D224" s="10"/>
      <c r="E224" s="10"/>
      <c r="F224" s="10"/>
      <c r="G224" s="3"/>
      <c r="H224" s="4" t="s">
        <v>100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spans="1:18" ht="24" customHeight="1" x14ac:dyDescent="0.3">
      <c r="A225" s="1"/>
      <c r="B225" s="206" t="s">
        <v>101</v>
      </c>
      <c r="C225" s="207"/>
      <c r="D225" s="10"/>
      <c r="E225" s="10"/>
      <c r="F225" s="10"/>
      <c r="G225" s="3"/>
      <c r="H225" s="4" t="s">
        <v>102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spans="1:18" ht="24" customHeight="1" x14ac:dyDescent="0.3">
      <c r="A226" s="1"/>
      <c r="B226" s="206" t="s">
        <v>103</v>
      </c>
      <c r="C226" s="207"/>
      <c r="D226" s="10"/>
      <c r="E226" s="10"/>
      <c r="F226" s="10"/>
      <c r="G226" s="3"/>
      <c r="H226" s="4" t="s">
        <v>104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spans="1:18" ht="24" customHeight="1" x14ac:dyDescent="0.3">
      <c r="A227" s="1"/>
      <c r="B227" s="206" t="s">
        <v>105</v>
      </c>
      <c r="C227" s="207"/>
      <c r="D227" s="10"/>
      <c r="E227" s="10"/>
      <c r="F227" s="10"/>
      <c r="G227" s="3"/>
      <c r="H227" s="4" t="s">
        <v>106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spans="1:18" ht="24" customHeight="1" x14ac:dyDescent="0.3">
      <c r="A228" s="1"/>
      <c r="B228" s="206" t="s">
        <v>107</v>
      </c>
      <c r="C228" s="207"/>
      <c r="D228" s="10"/>
      <c r="E228" s="10"/>
      <c r="F228" s="10"/>
      <c r="G228" s="3"/>
      <c r="H228" s="4" t="s">
        <v>108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spans="1:18" ht="24" customHeight="1" x14ac:dyDescent="0.3">
      <c r="A229" s="1"/>
      <c r="B229" s="206" t="s">
        <v>109</v>
      </c>
      <c r="C229" s="207"/>
      <c r="D229" s="10"/>
      <c r="E229" s="10"/>
      <c r="F229" s="10"/>
      <c r="G229" s="3"/>
      <c r="H229" s="4" t="s">
        <v>110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spans="1:18" ht="24" customHeight="1" x14ac:dyDescent="0.3">
      <c r="A230" s="1"/>
      <c r="B230" s="206" t="s">
        <v>111</v>
      </c>
      <c r="C230" s="207"/>
      <c r="D230" s="10"/>
      <c r="E230" s="10"/>
      <c r="F230" s="10"/>
      <c r="G230" s="3"/>
      <c r="H230" s="4" t="s">
        <v>112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spans="1:18" ht="24" customHeight="1" x14ac:dyDescent="0.3">
      <c r="A231" s="1"/>
      <c r="B231" s="206" t="s">
        <v>113</v>
      </c>
      <c r="C231" s="207"/>
      <c r="D231" s="10"/>
      <c r="E231" s="10"/>
      <c r="F231" s="10"/>
      <c r="G231" s="3"/>
      <c r="H231" s="4" t="s">
        <v>114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spans="1:18" ht="24" customHeight="1" thickBot="1" x14ac:dyDescent="0.35">
      <c r="A232" s="1"/>
      <c r="B232" s="208" t="s">
        <v>115</v>
      </c>
      <c r="C232" s="209"/>
      <c r="D232" s="138"/>
      <c r="E232" s="138"/>
      <c r="F232" s="138"/>
      <c r="G232" s="3"/>
      <c r="H232" s="134" t="s">
        <v>116</v>
      </c>
      <c r="I232" s="198"/>
      <c r="J232" s="198"/>
      <c r="K232" s="198"/>
      <c r="L232" s="198"/>
      <c r="M232" s="3"/>
      <c r="N232" s="3"/>
      <c r="O232" s="3"/>
      <c r="P232" s="3"/>
      <c r="Q232" s="3"/>
      <c r="R232" s="3"/>
    </row>
    <row r="233" spans="1:18" ht="24" customHeight="1" x14ac:dyDescent="0.3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spans="1:18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spans="1:18" x14ac:dyDescent="0.3">
      <c r="A235" s="3"/>
      <c r="B235" s="210" t="s">
        <v>117</v>
      </c>
      <c r="C235" s="211"/>
      <c r="D235" s="211"/>
      <c r="E235" s="211"/>
      <c r="F235" s="211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spans="1:18" ht="20.100000000000001" customHeight="1" x14ac:dyDescent="0.3">
      <c r="A236" s="3"/>
      <c r="B236" s="127" t="s">
        <v>118</v>
      </c>
      <c r="C236" s="127" t="str">
        <f>IF(COUNT(K33:K44)=12,"✓ complete","⚠ "&amp;COUNT(K33:K44)&amp;" of 12 months")</f>
        <v>✓ complete</v>
      </c>
      <c r="D236" s="128"/>
      <c r="E236" s="128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spans="1:18" ht="20.100000000000001" customHeight="1" x14ac:dyDescent="0.3">
      <c r="A237" s="3"/>
      <c r="B237" s="127" t="s">
        <v>119</v>
      </c>
      <c r="C237" s="127" t="str">
        <f>IF(N(C19)&gt;0,"✓ site schedule ("&amp;C19&amp;" hrs × "&amp;D19&amp;" days)","⚠ CBECS mean default (61 hrs/wk) in use")</f>
        <v>⚠ CBECS mean default (61 hrs/wk) in use</v>
      </c>
      <c r="D237" s="128"/>
      <c r="E237" s="128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spans="1:18" ht="20.100000000000001" customHeight="1" x14ac:dyDescent="0.3">
      <c r="A238" s="3"/>
      <c r="B238" s="127" t="s">
        <v>120</v>
      </c>
      <c r="C238" s="127" t="str">
        <f>IF(COUNT(L58:L59,L79:L80,L100:L114)&gt;0,"✓ "&amp;COUNT(L58:L59,L79:L80,L100:L114)&amp;" of 19 HVAC units aged","⚠ none — degradation context missing")</f>
        <v>⚠ none — degradation context missing</v>
      </c>
      <c r="D238" s="128"/>
      <c r="E238" s="128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spans="1:18" ht="20.100000000000001" customHeight="1" x14ac:dyDescent="0.3">
      <c r="A239" s="3"/>
      <c r="B239" s="127" t="s">
        <v>121</v>
      </c>
      <c r="C239" s="127" t="str">
        <f>IF(COUNT(L127,L138,L149,L155,L165,L168,L178,L181,L186,L189,L194)&gt;0,"✓ "&amp;COUNT(L127,L138,L149,L155,L165,L168,L178,L181,L186,L189,L194)&amp;" walk-in/case units aged","✓ n/a — no cold-storage equipment on project")</f>
        <v>✓ 7 walk-in/case units aged</v>
      </c>
      <c r="D239" s="128"/>
      <c r="E239" s="128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spans="1:18" ht="20.100000000000001" customHeight="1" x14ac:dyDescent="0.3">
      <c r="A240" s="3"/>
      <c r="B240" s="127" t="s">
        <v>122</v>
      </c>
      <c r="C240" s="127" t="str">
        <f>IF(N(C17)&gt;0,"✓ "&amp;TEXT(C17,"#,##0")&amp;" sqft","⚠ not entered")</f>
        <v>⚠ not entered</v>
      </c>
      <c r="D240" s="128"/>
      <c r="E240" s="128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spans="1:18" ht="20.100000000000001" customHeight="1" x14ac:dyDescent="0.3">
      <c r="A241" s="3"/>
      <c r="B241" s="127" t="s">
        <v>123</v>
      </c>
      <c r="C241" s="127" t="str">
        <f>IF(N(D228)&gt;0,IF(D228&gt;=70,"✓ "&amp;D228&amp;" psi — QUALIFIES (≥70)","✓ "&amp;D228&amp;" psi — below the 70 psi screen"),"⚠ not gauged — required survey field")</f>
        <v>⚠ not gauged — required survey field</v>
      </c>
      <c r="D241" s="128"/>
      <c r="E241" s="128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spans="1:18" ht="20.100000000000001" customHeight="1" x14ac:dyDescent="0.3">
      <c r="A242" s="3"/>
      <c r="B242" s="127" t="s">
        <v>124</v>
      </c>
      <c r="C242" s="127" t="str">
        <f>IF(N(D224)&gt;0,"✓ "&amp;TEXT(D224,"#,##0")&amp;" gal","⚠ not entered")</f>
        <v>⚠ not entered</v>
      </c>
      <c r="D242" s="128"/>
      <c r="E242" s="128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spans="1:18" ht="20.100000000000001" customHeight="1" x14ac:dyDescent="0.3">
      <c r="A243" s="3"/>
      <c r="B243" s="127" t="s">
        <v>125</v>
      </c>
      <c r="C243" s="127" t="str">
        <f>IF(AND(N(G45)&gt;0,N(I45)&gt;0),"✓ demand kW ("&amp;TEXT(G45,"#,##0")&amp;") and demand $ ("&amp;TEXT(I45,"$#,##0")&amp;") present — rate derives","⚠ demand kW or $ missing — demand module inert")</f>
        <v>⚠ demand kW or $ missing — demand module inert</v>
      </c>
      <c r="D243" s="128"/>
      <c r="E243" s="128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spans="1:18" ht="20.100000000000001" customHeight="1" x14ac:dyDescent="0.3">
      <c r="A244" s="3"/>
      <c r="B244" s="128"/>
      <c r="C244" s="128"/>
      <c r="D244" s="128"/>
      <c r="E244" s="128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spans="1:18" ht="20.100000000000001" customHeight="1" x14ac:dyDescent="0.3">
      <c r="A245" s="3"/>
      <c r="B245" s="127" t="s">
        <v>126</v>
      </c>
      <c r="C245" s="128"/>
      <c r="D245" s="128"/>
      <c r="E245" s="128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spans="1:18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spans="1:18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spans="1:18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spans="1:18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spans="1:18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spans="1:18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</sheetData>
  <mergeCells count="49">
    <mergeCell ref="C10:D10"/>
    <mergeCell ref="H20:I20"/>
    <mergeCell ref="H17:I17"/>
    <mergeCell ref="H19:I19"/>
    <mergeCell ref="C17:D17"/>
    <mergeCell ref="H11:I11"/>
    <mergeCell ref="H12:I12"/>
    <mergeCell ref="H13:I13"/>
    <mergeCell ref="H14:I14"/>
    <mergeCell ref="H15:I15"/>
    <mergeCell ref="B228:C228"/>
    <mergeCell ref="B208:C208"/>
    <mergeCell ref="B219:C219"/>
    <mergeCell ref="B221:C221"/>
    <mergeCell ref="B222:C222"/>
    <mergeCell ref="B223:C223"/>
    <mergeCell ref="B224:C224"/>
    <mergeCell ref="B231:C231"/>
    <mergeCell ref="B232:C232"/>
    <mergeCell ref="B235:F235"/>
    <mergeCell ref="C27:D27"/>
    <mergeCell ref="C26:D26"/>
    <mergeCell ref="B229:C229"/>
    <mergeCell ref="B230:C230"/>
    <mergeCell ref="B197:C197"/>
    <mergeCell ref="B30:C30"/>
    <mergeCell ref="E30:F30"/>
    <mergeCell ref="B55:C55"/>
    <mergeCell ref="B76:C76"/>
    <mergeCell ref="B48:C48"/>
    <mergeCell ref="B225:C225"/>
    <mergeCell ref="B226:C226"/>
    <mergeCell ref="B227:C227"/>
    <mergeCell ref="J199:J204"/>
    <mergeCell ref="C6:L6"/>
    <mergeCell ref="C16:D16"/>
    <mergeCell ref="C15:D15"/>
    <mergeCell ref="C14:D14"/>
    <mergeCell ref="C13:D13"/>
    <mergeCell ref="C12:D12"/>
    <mergeCell ref="C11:D11"/>
    <mergeCell ref="C25:D25"/>
    <mergeCell ref="B97:C97"/>
    <mergeCell ref="B119:C119"/>
    <mergeCell ref="B130:C130"/>
    <mergeCell ref="B141:C141"/>
    <mergeCell ref="B152:C152"/>
    <mergeCell ref="H21:I21"/>
    <mergeCell ref="B8:C8"/>
  </mergeCells>
  <dataValidations disablePrompts="1" count="29">
    <dataValidation type="list" allowBlank="1" showInputMessage="1" showErrorMessage="1" sqref="C16" xr:uid="{D1214A50-5430-482A-A3A3-A979E685295D}">
      <formula1>UtilByState</formula1>
    </dataValidation>
    <dataValidation type="list" allowBlank="1" showInputMessage="1" showErrorMessage="1" sqref="B133:B137" xr:uid="{A0250C27-0654-4CAF-A06C-4649F71F0655}">
      <formula1>"PTAC"</formula1>
    </dataValidation>
    <dataValidation type="list" allowBlank="1" showInputMessage="1" showErrorMessage="1" sqref="B144:B148" xr:uid="{F62CB5D2-E8BB-4E05-A894-9C94AD2F0CE7}">
      <formula1>"VTAC"</formula1>
    </dataValidation>
    <dataValidation type="list" allowBlank="1" showInputMessage="1" showErrorMessage="1" sqref="B79:B93" xr:uid="{57B13DDF-DDED-4043-B098-BA2C8FC75432}">
      <formula1>"RTU-230"</formula1>
    </dataValidation>
    <dataValidation type="list" allowBlank="1" showInputMessage="1" showErrorMessage="1" sqref="B58:B72" xr:uid="{5CD38B59-DD9E-46F3-9023-2635B146D2D7}">
      <formula1>"RTU-460"</formula1>
    </dataValidation>
    <dataValidation type="list" allowBlank="1" showInputMessage="1" showErrorMessage="1" sqref="B122:B126 B100:B114" xr:uid="{4B3D10B9-375A-4B50-90C3-B66E438D0E9F}">
      <formula1>"Split System"</formula1>
    </dataValidation>
    <dataValidation type="list" allowBlank="1" showInputMessage="1" showErrorMessage="1" sqref="B155:B164" xr:uid="{F92F638A-2AD7-49E5-A5C4-AA02324CEB01}">
      <formula1>"Walk-In Cooler"</formula1>
    </dataValidation>
    <dataValidation type="list" allowBlank="1" showInputMessage="1" showErrorMessage="1" sqref="B168" xr:uid="{FE0AFDD9-6C73-4BBC-BE3C-FB2389D3BB19}">
      <formula1>"Walk-In Freezer"</formula1>
    </dataValidation>
    <dataValidation type="list" allowBlank="1" showInputMessage="1" showErrorMessage="1" sqref="B181:B185" xr:uid="{5FD25832-3984-4741-88DA-D21886F6D299}">
      <formula1>"F&amp;B Cooler"</formula1>
    </dataValidation>
    <dataValidation type="list" allowBlank="1" showInputMessage="1" showErrorMessage="1" sqref="B189:B193" xr:uid="{1A487F0B-4BB4-41FA-8C33-8F267FB36F02}">
      <formula1>"F&amp;B Freezer"</formula1>
    </dataValidation>
    <dataValidation type="list" allowBlank="1" showInputMessage="1" showErrorMessage="1" errorTitle="Invalid glass type" error="Pick a glass type from the list." promptTitle="Existing Glass Type" prompt="Existing window glass construction." sqref="I211:I215" xr:uid="{9FD16235-158C-4C1C-8814-DF33D1C7420A}">
      <formula1>"Single pane clear,Single pane tinted,Double pane clear,Double pane tinted,Double pane low-E"</formula1>
    </dataValidation>
    <dataValidation type="list" allowBlank="1" showInputMessage="1" showErrorMessage="1" errorTitle="Invalid insulation level" error="Pick an insulation level from the list." promptTitle="Roof Insulation Level" prompt="Existing roof insulation R-value tier." sqref="I200:I204" xr:uid="{23B71BBA-6D14-4908-BC5D-DDEBC990634A}">
      <formula1>"None / Uninsulated,R-10 (low),R-20 (standard),R-30 (high),R-40+ (premium)"</formula1>
    </dataValidation>
    <dataValidation type="list" allowBlank="1" showInputMessage="1" showErrorMessage="1" errorTitle="Invalid Roof Type" error="Please select a roof type from the dropdown list." promptTitle="Existing Roof Type" prompt="Select the existing roof type." sqref="F200:F204" xr:uid="{DD232303-1C65-48C6-8174-A7A675FD4E6F}">
      <formula1>_xlfn._LONGTEXT("Light gray TPO,Dark gray TPO,White TPO,Black EPDM (rubber),White EPDM,Modified Bitumen (cap sheet),Built-Up Roof (BUR / tar &amp; gravel),Asphalt Shingle,Metal (unpainted/galvanized),Metal (painted light),Metal (painted dark),PVC (white),PVC (gray),Concrete /"," Ballast,SPF (Spray Polyurethane Foam)")</formula1>
    </dataValidation>
    <dataValidation type="list" allowBlank="1" showInputMessage="1" showErrorMessage="1" errorTitle="Invalid month" error="Pick a month from the list." promptTitle="Starting Month" prompt="Select the starting month — rows below will auto-fill in order." sqref="E33" xr:uid="{76F7545E-5B25-4C17-907D-CFAA2180C4D9}">
      <formula1>"January  ,February  ,March  ,April  ,May  ,June  ,July  ,August  ,September  ,October  ,November  ,December  "</formula1>
    </dataValidation>
    <dataValidation type="list" allowBlank="1" showInputMessage="1" showErrorMessage="1" sqref="H122:H126 H100:H114 H79:H93 H144:H148 H133:H137 H58:H72" xr:uid="{9A251757-C8B9-4AAC-90D2-AF6EE4FAC2AE}">
      <formula1>"1,3"</formula1>
    </dataValidation>
    <dataValidation type="list" allowBlank="1" showInputMessage="1" showErrorMessage="1" sqref="J155:J164 J168:J177 J181:J185 J189:J193" xr:uid="{40910D7F-05F8-4077-9A5C-51DEB0F6271A}">
      <formula1>"Shaded Pole,PSC"</formula1>
    </dataValidation>
    <dataValidation type="list" allowBlank="1" showInputMessage="1" showErrorMessage="1" sqref="B169:B177" xr:uid="{9369D510-8D25-432E-B4CA-28C722CEA947}">
      <formula1>"Walk-In Cooler,Walk-In Freezer,Reach-In Cooler,Reach-In Freezer,Display Case,Ice Machine,Blast Chiller,Prep Table,Other"</formula1>
    </dataValidation>
    <dataValidation type="list" allowBlank="1" showInputMessage="1" showErrorMessage="1" sqref="G122:G126 G155:G164 G181:G185 G100:G114 G133:G137 G144:G148 G58:G72 G79:G93" xr:uid="{B8CA4C20-C335-462E-AF1A-7C35537BDF9A}">
      <formula1>"115,208,230,240,277,460,480"</formula1>
    </dataValidation>
    <dataValidation type="list" allowBlank="1" showInputMessage="1" showErrorMessage="1" sqref="C15" xr:uid="{657F5B2F-0FE3-4056-9487-E245B22100CF}">
      <formula1>"For-Profit,NonProfit"</formula1>
    </dataValidation>
    <dataValidation type="list" allowBlank="1" showInputMessage="1" showErrorMessage="1" sqref="C14" xr:uid="{D36795C1-61B1-405A-A47D-3CBC3C17E384}">
      <formula1>_xlfn._LONGTEXT("Small Office,Office,Government,Retail,C-Store,Restaurant,Hotel,School/University,Hospital,Warehouse,Church,Grocery,Multi-Family,Industrial,Assisted Living,Senior Living,Daycare,Auto Dealership,Medical Office,Fitness Center,Data Center,Cold Storage,Manufac","turing,Other")</formula1>
    </dataValidation>
    <dataValidation type="decimal" operator="greaterThanOrEqual" allowBlank="1" showErrorMessage="1" errorTitle="Utility charges" error="Charges must be zero or positive." sqref="H33:J44" xr:uid="{56225FB1-3449-4635-B559-C502AFEA6237}">
      <formula1>0</formula1>
    </dataValidation>
    <dataValidation type="decimal" operator="greaterThanOrEqual" allowBlank="1" showErrorMessage="1" errorTitle="Utility data" error="kWh and kW entries must be zero or positive." sqref="F33:G44" xr:uid="{1B187396-023C-4CE0-A5B9-D329A73A9938}">
      <formula1>0</formula1>
    </dataValidation>
    <dataValidation type="decimal" operator="greaterThanOrEqual" allowBlank="1" showErrorMessage="1" errorTitle="Invalid" error="Value must be zero or positive" sqref="D224:F226 D228:F229 D232:F232" xr:uid="{7170A6C1-EA09-46C8-B140-E045BE414EFE}">
      <formula1>0</formula1>
    </dataValidation>
    <dataValidation type="list" allowBlank="1" showInputMessage="1" showErrorMessage="1" sqref="D223:F223" xr:uid="{32B397D0-6F5D-4B48-8CB4-8E39682C2CD0}">
      <formula1>"0.5,0.625,0.75,1,1.5,2,3,4,6,8"</formula1>
    </dataValidation>
    <dataValidation type="list" allowBlank="1" showInputMessage="1" showErrorMessage="1" sqref="D230:F230" xr:uid="{5D7720E7-AFC6-4841-84AB-7D92CDFC7F6A}">
      <formula1>"Hotel,Restaurant,Multi Family/Residential,Assisted Living/Senior Care,Health Club &amp; Gym,Hospital,School,Laundromat,Car Wash/Dealership,Commercial Building,Manufacturing/Industrial,Other"</formula1>
    </dataValidation>
    <dataValidation type="list" allowBlank="1" showInputMessage="1" showErrorMessage="1" sqref="D227:F227 D231:F231" xr:uid="{E4695D30-FB74-422B-AE46-DC9988137DD4}">
      <formula1>"Y,N"</formula1>
    </dataValidation>
    <dataValidation type="list" allowBlank="1" showInputMessage="1" showErrorMessage="1" sqref="C13" xr:uid="{D159C343-FD5E-4F4D-B08A-66DB19E66830}">
      <formula1>_xlfn._LONGTEXT("Alabama,Alaska,Arizona,Arkansas,California,Colorado,Connecticut,Delaware,District of Columbia,Florida,Georgia,Hawaii,Idaho,Illinois,Indiana,Iowa,Kansas,Kentucky,Louisiana,Maine,Maryland,Massachusetts,Mexico,Michigan,Minnesota,Mississippi,Missouri,Montana,","Nebraska,Nevada,New Hampshire,New Jersey,New Mexico,New York,North Carolina,North Dakota,Ohio,Oklahoma,Oregon,Pennsylvania,Puerto Rico,Rhode Island,Samoan Islands,South Carolina,South Dakota,Tennessee,Texas,Utah,Vermont,Virginia,Washington,West Virginia,W","isconsin,Wyoming")</formula1>
    </dataValidation>
    <dataValidation type="list" allowBlank="1" showInputMessage="1" showErrorMessage="1" sqref="C51" xr:uid="{2246D62E-20D3-43EC-B23C-61C880B3262F}">
      <formula1>"Wired, Wireless"</formula1>
    </dataValidation>
    <dataValidation type="list" allowBlank="1" showInputMessage="1" showErrorMessage="1" sqref="C52" xr:uid="{45B4D20A-6CBE-4358-9FA4-8630143C0848}">
      <formula1>"Yes, No"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558AB-E1D8-4837-A52D-FC868779120E}">
  <sheetPr>
    <tabColor theme="5" tint="-0.499984740745262"/>
  </sheetPr>
  <dimension ref="B2:X110"/>
  <sheetViews>
    <sheetView showGridLines="0" zoomScale="110" zoomScaleNormal="110" workbookViewId="0">
      <selection activeCell="B3" sqref="B3"/>
    </sheetView>
  </sheetViews>
  <sheetFormatPr defaultColWidth="9.109375" defaultRowHeight="14.4" x14ac:dyDescent="0.3"/>
  <cols>
    <col min="1" max="1" width="1.6640625" style="175" customWidth="1"/>
    <col min="2" max="2" width="15.6640625" style="176" customWidth="1"/>
    <col min="3" max="5" width="9.109375" style="175"/>
    <col min="6" max="6" width="15.6640625" style="175" customWidth="1"/>
    <col min="7" max="7" width="3.33203125" style="175" customWidth="1"/>
    <col min="8" max="8" width="15.6640625" style="176" customWidth="1"/>
    <col min="9" max="11" width="9.109375" style="175"/>
    <col min="12" max="12" width="15.6640625" style="176" customWidth="1"/>
    <col min="13" max="13" width="3.33203125" style="175" customWidth="1"/>
    <col min="14" max="14" width="15.6640625" style="175" customWidth="1"/>
    <col min="15" max="17" width="9.109375" style="175"/>
    <col min="18" max="18" width="15.6640625" style="175" customWidth="1"/>
    <col min="19" max="19" width="3.33203125" style="175" customWidth="1"/>
    <col min="20" max="20" width="15.6640625" style="175" customWidth="1"/>
    <col min="21" max="23" width="9.109375" style="175"/>
    <col min="24" max="24" width="15.6640625" style="175" customWidth="1"/>
    <col min="25" max="16384" width="9.109375" style="175"/>
  </cols>
  <sheetData>
    <row r="2" spans="2:24" ht="15.6" x14ac:dyDescent="0.3">
      <c r="B2" s="224" t="s">
        <v>156</v>
      </c>
      <c r="C2" s="224"/>
      <c r="D2" s="224"/>
    </row>
    <row r="4" spans="2:24" x14ac:dyDescent="0.3">
      <c r="B4" s="226" t="s">
        <v>127</v>
      </c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</row>
    <row r="5" spans="2:24" x14ac:dyDescent="0.3">
      <c r="B5" s="227" t="s">
        <v>128</v>
      </c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</row>
    <row r="7" spans="2:24" ht="15" thickBot="1" x14ac:dyDescent="0.35"/>
    <row r="8" spans="2:24" s="179" customFormat="1" ht="18" customHeight="1" x14ac:dyDescent="0.3">
      <c r="B8" s="177" t="s">
        <v>129</v>
      </c>
      <c r="C8" s="225" t="s">
        <v>130</v>
      </c>
      <c r="D8" s="225"/>
      <c r="E8" s="225"/>
      <c r="F8" s="178" t="s">
        <v>129</v>
      </c>
      <c r="H8" s="177" t="s">
        <v>129</v>
      </c>
      <c r="I8" s="225" t="s">
        <v>131</v>
      </c>
      <c r="J8" s="225"/>
      <c r="K8" s="225"/>
      <c r="L8" s="178" t="s">
        <v>129</v>
      </c>
      <c r="N8" s="177" t="s">
        <v>129</v>
      </c>
      <c r="O8" s="225" t="s">
        <v>132</v>
      </c>
      <c r="P8" s="225"/>
      <c r="Q8" s="225"/>
      <c r="R8" s="178" t="s">
        <v>129</v>
      </c>
      <c r="T8" s="177" t="s">
        <v>129</v>
      </c>
      <c r="U8" s="225" t="s">
        <v>133</v>
      </c>
      <c r="V8" s="225"/>
      <c r="W8" s="225"/>
      <c r="X8" s="178" t="s">
        <v>129</v>
      </c>
    </row>
    <row r="9" spans="2:24" s="179" customFormat="1" ht="18" customHeight="1" x14ac:dyDescent="0.3">
      <c r="B9" s="180" t="s">
        <v>134</v>
      </c>
      <c r="C9" s="223" t="s">
        <v>135</v>
      </c>
      <c r="D9" s="223"/>
      <c r="E9" s="223"/>
      <c r="F9" s="181" t="s">
        <v>134</v>
      </c>
      <c r="H9" s="180" t="s">
        <v>134</v>
      </c>
      <c r="I9" s="223" t="s">
        <v>135</v>
      </c>
      <c r="J9" s="223"/>
      <c r="K9" s="223"/>
      <c r="L9" s="181" t="s">
        <v>134</v>
      </c>
      <c r="N9" s="180" t="s">
        <v>134</v>
      </c>
      <c r="O9" s="223" t="s">
        <v>135</v>
      </c>
      <c r="P9" s="223"/>
      <c r="Q9" s="223"/>
      <c r="R9" s="181" t="s">
        <v>134</v>
      </c>
      <c r="T9" s="180" t="s">
        <v>134</v>
      </c>
      <c r="U9" s="223" t="s">
        <v>135</v>
      </c>
      <c r="V9" s="223"/>
      <c r="W9" s="223"/>
      <c r="X9" s="181" t="s">
        <v>134</v>
      </c>
    </row>
    <row r="10" spans="2:24" x14ac:dyDescent="0.3">
      <c r="B10" s="182" t="s">
        <v>136</v>
      </c>
      <c r="C10" s="183" t="b">
        <v>0</v>
      </c>
      <c r="D10" s="184"/>
      <c r="E10" s="183" t="b">
        <v>0</v>
      </c>
      <c r="F10" s="185"/>
      <c r="H10" s="182" t="s">
        <v>136</v>
      </c>
      <c r="I10" s="183" t="b">
        <v>0</v>
      </c>
      <c r="J10" s="184"/>
      <c r="K10" s="183" t="b">
        <v>0</v>
      </c>
      <c r="L10" s="185"/>
      <c r="N10" s="182" t="s">
        <v>136</v>
      </c>
      <c r="O10" s="183" t="b">
        <v>0</v>
      </c>
      <c r="P10" s="184"/>
      <c r="Q10" s="183" t="b">
        <v>0</v>
      </c>
      <c r="R10" s="185"/>
      <c r="T10" s="182" t="s">
        <v>136</v>
      </c>
      <c r="U10" s="183" t="b">
        <v>0</v>
      </c>
      <c r="V10" s="184"/>
      <c r="W10" s="183" t="b">
        <v>0</v>
      </c>
      <c r="X10" s="185"/>
    </row>
    <row r="11" spans="2:24" x14ac:dyDescent="0.3">
      <c r="B11" s="182" t="s">
        <v>136</v>
      </c>
      <c r="C11" s="183" t="b">
        <v>0</v>
      </c>
      <c r="D11" s="184"/>
      <c r="E11" s="183" t="b">
        <v>0</v>
      </c>
      <c r="F11" s="185"/>
      <c r="H11" s="182" t="s">
        <v>136</v>
      </c>
      <c r="I11" s="183" t="b">
        <v>0</v>
      </c>
      <c r="J11" s="184"/>
      <c r="K11" s="183" t="b">
        <v>0</v>
      </c>
      <c r="L11" s="185"/>
      <c r="N11" s="182" t="s">
        <v>136</v>
      </c>
      <c r="O11" s="183" t="b">
        <v>0</v>
      </c>
      <c r="P11" s="184"/>
      <c r="Q11" s="183" t="b">
        <v>0</v>
      </c>
      <c r="R11" s="185"/>
      <c r="T11" s="182" t="s">
        <v>136</v>
      </c>
      <c r="U11" s="183" t="b">
        <v>0</v>
      </c>
      <c r="V11" s="184"/>
      <c r="W11" s="183" t="b">
        <v>0</v>
      </c>
      <c r="X11" s="185"/>
    </row>
    <row r="12" spans="2:24" x14ac:dyDescent="0.3">
      <c r="B12" s="182" t="s">
        <v>136</v>
      </c>
      <c r="C12" s="183" t="b">
        <v>0</v>
      </c>
      <c r="D12" s="184"/>
      <c r="E12" s="183" t="b">
        <v>0</v>
      </c>
      <c r="F12" s="185"/>
      <c r="H12" s="182" t="s">
        <v>136</v>
      </c>
      <c r="I12" s="183" t="b">
        <v>0</v>
      </c>
      <c r="J12" s="184"/>
      <c r="K12" s="183" t="b">
        <v>0</v>
      </c>
      <c r="L12" s="185"/>
      <c r="N12" s="182" t="s">
        <v>136</v>
      </c>
      <c r="O12" s="183" t="b">
        <v>0</v>
      </c>
      <c r="P12" s="184"/>
      <c r="Q12" s="183" t="b">
        <v>0</v>
      </c>
      <c r="R12" s="185"/>
      <c r="T12" s="182" t="s">
        <v>136</v>
      </c>
      <c r="U12" s="183" t="b">
        <v>0</v>
      </c>
      <c r="V12" s="184"/>
      <c r="W12" s="183" t="b">
        <v>0</v>
      </c>
      <c r="X12" s="185"/>
    </row>
    <row r="13" spans="2:24" x14ac:dyDescent="0.3">
      <c r="B13" s="182"/>
      <c r="C13" s="183" t="b">
        <v>0</v>
      </c>
      <c r="D13" s="184"/>
      <c r="E13" s="183" t="b">
        <v>0</v>
      </c>
      <c r="F13" s="185"/>
      <c r="H13" s="182"/>
      <c r="I13" s="183" t="b">
        <v>0</v>
      </c>
      <c r="J13" s="184"/>
      <c r="K13" s="183" t="b">
        <v>0</v>
      </c>
      <c r="L13" s="185"/>
      <c r="N13" s="182"/>
      <c r="O13" s="183" t="b">
        <v>0</v>
      </c>
      <c r="P13" s="184"/>
      <c r="Q13" s="183" t="b">
        <v>0</v>
      </c>
      <c r="R13" s="185"/>
      <c r="T13" s="182"/>
      <c r="U13" s="183" t="b">
        <v>0</v>
      </c>
      <c r="V13" s="184"/>
      <c r="W13" s="183" t="b">
        <v>0</v>
      </c>
      <c r="X13" s="185"/>
    </row>
    <row r="14" spans="2:24" x14ac:dyDescent="0.3">
      <c r="B14" s="182"/>
      <c r="C14" s="183" t="b">
        <v>0</v>
      </c>
      <c r="D14" s="184"/>
      <c r="E14" s="183" t="b">
        <v>0</v>
      </c>
      <c r="F14" s="185"/>
      <c r="H14" s="182"/>
      <c r="I14" s="183" t="b">
        <v>0</v>
      </c>
      <c r="J14" s="184"/>
      <c r="K14" s="183" t="b">
        <v>0</v>
      </c>
      <c r="L14" s="185"/>
      <c r="N14" s="182"/>
      <c r="O14" s="183" t="b">
        <v>0</v>
      </c>
      <c r="P14" s="184"/>
      <c r="Q14" s="183" t="b">
        <v>0</v>
      </c>
      <c r="R14" s="185"/>
      <c r="T14" s="182"/>
      <c r="U14" s="183" t="b">
        <v>0</v>
      </c>
      <c r="V14" s="184"/>
      <c r="W14" s="183" t="b">
        <v>0</v>
      </c>
      <c r="X14" s="185"/>
    </row>
    <row r="15" spans="2:24" x14ac:dyDescent="0.3">
      <c r="B15" s="182"/>
      <c r="C15" s="183" t="b">
        <v>0</v>
      </c>
      <c r="D15" s="184"/>
      <c r="E15" s="183" t="b">
        <v>0</v>
      </c>
      <c r="F15" s="185"/>
      <c r="H15" s="182"/>
      <c r="I15" s="183" t="b">
        <v>0</v>
      </c>
      <c r="J15" s="184"/>
      <c r="K15" s="183" t="b">
        <v>0</v>
      </c>
      <c r="L15" s="185"/>
      <c r="N15" s="182"/>
      <c r="O15" s="183" t="b">
        <v>0</v>
      </c>
      <c r="P15" s="184"/>
      <c r="Q15" s="183" t="b">
        <v>0</v>
      </c>
      <c r="R15" s="185"/>
      <c r="T15" s="182"/>
      <c r="U15" s="183" t="b">
        <v>0</v>
      </c>
      <c r="V15" s="184"/>
      <c r="W15" s="183" t="b">
        <v>0</v>
      </c>
      <c r="X15" s="185"/>
    </row>
    <row r="16" spans="2:24" x14ac:dyDescent="0.3">
      <c r="B16" s="182"/>
      <c r="C16" s="183" t="b">
        <v>0</v>
      </c>
      <c r="D16" s="184"/>
      <c r="E16" s="183" t="b">
        <v>0</v>
      </c>
      <c r="F16" s="185"/>
      <c r="H16" s="182"/>
      <c r="I16" s="183" t="b">
        <v>0</v>
      </c>
      <c r="J16" s="184"/>
      <c r="K16" s="183" t="b">
        <v>0</v>
      </c>
      <c r="L16" s="185"/>
      <c r="N16" s="182"/>
      <c r="O16" s="183" t="b">
        <v>0</v>
      </c>
      <c r="P16" s="184"/>
      <c r="Q16" s="183" t="b">
        <v>0</v>
      </c>
      <c r="R16" s="185"/>
      <c r="T16" s="182"/>
      <c r="U16" s="183" t="b">
        <v>0</v>
      </c>
      <c r="V16" s="184"/>
      <c r="W16" s="183" t="b">
        <v>0</v>
      </c>
      <c r="X16" s="185"/>
    </row>
    <row r="17" spans="2:24" x14ac:dyDescent="0.3">
      <c r="B17" s="182"/>
      <c r="C17" s="183" t="b">
        <v>0</v>
      </c>
      <c r="D17" s="184"/>
      <c r="E17" s="183" t="b">
        <v>0</v>
      </c>
      <c r="F17" s="185"/>
      <c r="H17" s="182"/>
      <c r="I17" s="183" t="b">
        <v>0</v>
      </c>
      <c r="J17" s="184"/>
      <c r="K17" s="183" t="b">
        <v>0</v>
      </c>
      <c r="L17" s="185"/>
      <c r="N17" s="182"/>
      <c r="O17" s="183" t="b">
        <v>0</v>
      </c>
      <c r="P17" s="184"/>
      <c r="Q17" s="183" t="b">
        <v>0</v>
      </c>
      <c r="R17" s="185"/>
      <c r="T17" s="182"/>
      <c r="U17" s="183" t="b">
        <v>0</v>
      </c>
      <c r="V17" s="184"/>
      <c r="W17" s="183" t="b">
        <v>0</v>
      </c>
      <c r="X17" s="185"/>
    </row>
    <row r="18" spans="2:24" x14ac:dyDescent="0.3">
      <c r="B18" s="182"/>
      <c r="C18" s="183" t="b">
        <v>0</v>
      </c>
      <c r="D18" s="184"/>
      <c r="E18" s="183" t="b">
        <v>0</v>
      </c>
      <c r="F18" s="185"/>
      <c r="H18" s="182"/>
      <c r="I18" s="183" t="b">
        <v>0</v>
      </c>
      <c r="J18" s="184"/>
      <c r="K18" s="183" t="b">
        <v>0</v>
      </c>
      <c r="L18" s="185"/>
      <c r="N18" s="182"/>
      <c r="O18" s="183" t="b">
        <v>0</v>
      </c>
      <c r="P18" s="184"/>
      <c r="Q18" s="183" t="b">
        <v>0</v>
      </c>
      <c r="R18" s="185"/>
      <c r="T18" s="182"/>
      <c r="U18" s="183" t="b">
        <v>0</v>
      </c>
      <c r="V18" s="184"/>
      <c r="W18" s="183" t="b">
        <v>0</v>
      </c>
      <c r="X18" s="185"/>
    </row>
    <row r="19" spans="2:24" x14ac:dyDescent="0.3">
      <c r="B19" s="182"/>
      <c r="C19" s="183" t="b">
        <v>0</v>
      </c>
      <c r="D19" s="184"/>
      <c r="E19" s="183" t="b">
        <v>0</v>
      </c>
      <c r="F19" s="185"/>
      <c r="H19" s="182"/>
      <c r="I19" s="183" t="b">
        <v>0</v>
      </c>
      <c r="J19" s="184"/>
      <c r="K19" s="183" t="b">
        <v>0</v>
      </c>
      <c r="L19" s="185"/>
      <c r="N19" s="182"/>
      <c r="O19" s="183" t="b">
        <v>0</v>
      </c>
      <c r="P19" s="184"/>
      <c r="Q19" s="183" t="b">
        <v>0</v>
      </c>
      <c r="R19" s="185"/>
      <c r="T19" s="182"/>
      <c r="U19" s="183" t="b">
        <v>0</v>
      </c>
      <c r="V19" s="184"/>
      <c r="W19" s="183" t="b">
        <v>0</v>
      </c>
      <c r="X19" s="185"/>
    </row>
    <row r="20" spans="2:24" x14ac:dyDescent="0.3">
      <c r="B20" s="182"/>
      <c r="C20" s="183" t="b">
        <v>0</v>
      </c>
      <c r="D20" s="184"/>
      <c r="E20" s="183" t="b">
        <v>0</v>
      </c>
      <c r="F20" s="185"/>
      <c r="H20" s="182"/>
      <c r="I20" s="183" t="b">
        <v>0</v>
      </c>
      <c r="J20" s="184"/>
      <c r="K20" s="183" t="b">
        <v>0</v>
      </c>
      <c r="L20" s="185"/>
      <c r="N20" s="182"/>
      <c r="O20" s="183" t="b">
        <v>0</v>
      </c>
      <c r="P20" s="184"/>
      <c r="Q20" s="183" t="b">
        <v>0</v>
      </c>
      <c r="R20" s="185"/>
      <c r="T20" s="182"/>
      <c r="U20" s="183" t="b">
        <v>0</v>
      </c>
      <c r="V20" s="184"/>
      <c r="W20" s="183" t="b">
        <v>0</v>
      </c>
      <c r="X20" s="185"/>
    </row>
    <row r="21" spans="2:24" x14ac:dyDescent="0.3">
      <c r="B21" s="182"/>
      <c r="C21" s="183" t="b">
        <v>0</v>
      </c>
      <c r="D21" s="184"/>
      <c r="E21" s="183" t="b">
        <v>0</v>
      </c>
      <c r="F21" s="185"/>
      <c r="H21" s="182"/>
      <c r="I21" s="183" t="b">
        <v>0</v>
      </c>
      <c r="J21" s="184"/>
      <c r="K21" s="183" t="b">
        <v>0</v>
      </c>
      <c r="L21" s="185"/>
      <c r="N21" s="182"/>
      <c r="O21" s="183" t="b">
        <v>0</v>
      </c>
      <c r="P21" s="184"/>
      <c r="Q21" s="183" t="b">
        <v>0</v>
      </c>
      <c r="R21" s="185"/>
      <c r="T21" s="182"/>
      <c r="U21" s="183" t="b">
        <v>0</v>
      </c>
      <c r="V21" s="184"/>
      <c r="W21" s="183" t="b">
        <v>0</v>
      </c>
      <c r="X21" s="185"/>
    </row>
    <row r="22" spans="2:24" x14ac:dyDescent="0.3">
      <c r="B22" s="182"/>
      <c r="C22" s="183" t="b">
        <v>0</v>
      </c>
      <c r="D22" s="184"/>
      <c r="E22" s="183" t="b">
        <v>0</v>
      </c>
      <c r="F22" s="185"/>
      <c r="H22" s="182"/>
      <c r="I22" s="183" t="b">
        <v>0</v>
      </c>
      <c r="J22" s="184"/>
      <c r="K22" s="183" t="b">
        <v>0</v>
      </c>
      <c r="L22" s="185"/>
      <c r="N22" s="182"/>
      <c r="O22" s="183" t="b">
        <v>0</v>
      </c>
      <c r="P22" s="184"/>
      <c r="Q22" s="183" t="b">
        <v>0</v>
      </c>
      <c r="R22" s="185"/>
      <c r="T22" s="182"/>
      <c r="U22" s="183" t="b">
        <v>0</v>
      </c>
      <c r="V22" s="184"/>
      <c r="W22" s="183" t="b">
        <v>0</v>
      </c>
      <c r="X22" s="185"/>
    </row>
    <row r="23" spans="2:24" x14ac:dyDescent="0.3">
      <c r="B23" s="182"/>
      <c r="C23" s="183" t="b">
        <v>0</v>
      </c>
      <c r="D23" s="184"/>
      <c r="E23" s="183" t="b">
        <v>0</v>
      </c>
      <c r="F23" s="185"/>
      <c r="H23" s="182"/>
      <c r="I23" s="183" t="b">
        <v>0</v>
      </c>
      <c r="J23" s="184"/>
      <c r="K23" s="183" t="b">
        <v>0</v>
      </c>
      <c r="L23" s="185"/>
      <c r="N23" s="182"/>
      <c r="O23" s="183" t="b">
        <v>0</v>
      </c>
      <c r="P23" s="184"/>
      <c r="Q23" s="183" t="b">
        <v>0</v>
      </c>
      <c r="R23" s="185"/>
      <c r="T23" s="182"/>
      <c r="U23" s="183" t="b">
        <v>0</v>
      </c>
      <c r="V23" s="184"/>
      <c r="W23" s="183" t="b">
        <v>0</v>
      </c>
      <c r="X23" s="185"/>
    </row>
    <row r="24" spans="2:24" x14ac:dyDescent="0.3">
      <c r="B24" s="182"/>
      <c r="C24" s="183" t="b">
        <v>0</v>
      </c>
      <c r="D24" s="184"/>
      <c r="E24" s="183" t="b">
        <v>0</v>
      </c>
      <c r="F24" s="185"/>
      <c r="H24" s="182"/>
      <c r="I24" s="183" t="b">
        <v>0</v>
      </c>
      <c r="J24" s="184"/>
      <c r="K24" s="183" t="b">
        <v>0</v>
      </c>
      <c r="L24" s="185"/>
      <c r="N24" s="182"/>
      <c r="O24" s="183" t="b">
        <v>0</v>
      </c>
      <c r="P24" s="184"/>
      <c r="Q24" s="183" t="b">
        <v>0</v>
      </c>
      <c r="R24" s="185"/>
      <c r="T24" s="182"/>
      <c r="U24" s="183" t="b">
        <v>0</v>
      </c>
      <c r="V24" s="184"/>
      <c r="W24" s="183" t="b">
        <v>0</v>
      </c>
      <c r="X24" s="185"/>
    </row>
    <row r="25" spans="2:24" x14ac:dyDescent="0.3">
      <c r="B25" s="182"/>
      <c r="C25" s="183" t="b">
        <v>0</v>
      </c>
      <c r="D25" s="184"/>
      <c r="E25" s="183" t="b">
        <v>0</v>
      </c>
      <c r="F25" s="185"/>
      <c r="H25" s="182"/>
      <c r="I25" s="183" t="b">
        <v>0</v>
      </c>
      <c r="J25" s="184"/>
      <c r="K25" s="183" t="b">
        <v>0</v>
      </c>
      <c r="L25" s="185"/>
      <c r="N25" s="182"/>
      <c r="O25" s="183" t="b">
        <v>0</v>
      </c>
      <c r="P25" s="184"/>
      <c r="Q25" s="183" t="b">
        <v>0</v>
      </c>
      <c r="R25" s="185"/>
      <c r="T25" s="182"/>
      <c r="U25" s="183" t="b">
        <v>0</v>
      </c>
      <c r="V25" s="184"/>
      <c r="W25" s="183" t="b">
        <v>0</v>
      </c>
      <c r="X25" s="185"/>
    </row>
    <row r="26" spans="2:24" x14ac:dyDescent="0.3">
      <c r="B26" s="182"/>
      <c r="C26" s="183" t="b">
        <v>0</v>
      </c>
      <c r="D26" s="184"/>
      <c r="E26" s="183" t="b">
        <v>0</v>
      </c>
      <c r="F26" s="185"/>
      <c r="H26" s="182"/>
      <c r="I26" s="183" t="b">
        <v>0</v>
      </c>
      <c r="J26" s="184"/>
      <c r="K26" s="183" t="b">
        <v>0</v>
      </c>
      <c r="L26" s="185"/>
      <c r="N26" s="182"/>
      <c r="O26" s="183" t="b">
        <v>0</v>
      </c>
      <c r="P26" s="184"/>
      <c r="Q26" s="183" t="b">
        <v>0</v>
      </c>
      <c r="R26" s="185"/>
      <c r="T26" s="182"/>
      <c r="U26" s="183" t="b">
        <v>0</v>
      </c>
      <c r="V26" s="184"/>
      <c r="W26" s="183" t="b">
        <v>0</v>
      </c>
      <c r="X26" s="185"/>
    </row>
    <row r="27" spans="2:24" x14ac:dyDescent="0.3">
      <c r="B27" s="182"/>
      <c r="C27" s="183" t="b">
        <v>0</v>
      </c>
      <c r="D27" s="184"/>
      <c r="E27" s="183" t="b">
        <v>0</v>
      </c>
      <c r="F27" s="185"/>
      <c r="H27" s="182"/>
      <c r="I27" s="183" t="b">
        <v>0</v>
      </c>
      <c r="J27" s="184"/>
      <c r="K27" s="183" t="b">
        <v>0</v>
      </c>
      <c r="L27" s="185"/>
      <c r="N27" s="182"/>
      <c r="O27" s="183" t="b">
        <v>0</v>
      </c>
      <c r="P27" s="184"/>
      <c r="Q27" s="183" t="b">
        <v>0</v>
      </c>
      <c r="R27" s="185"/>
      <c r="T27" s="182"/>
      <c r="U27" s="183" t="b">
        <v>0</v>
      </c>
      <c r="V27" s="184"/>
      <c r="W27" s="183" t="b">
        <v>0</v>
      </c>
      <c r="X27" s="185"/>
    </row>
    <row r="28" spans="2:24" x14ac:dyDescent="0.3">
      <c r="B28" s="182"/>
      <c r="C28" s="183" t="b">
        <v>0</v>
      </c>
      <c r="D28" s="184"/>
      <c r="E28" s="183" t="b">
        <v>0</v>
      </c>
      <c r="F28" s="185"/>
      <c r="H28" s="182"/>
      <c r="I28" s="183" t="b">
        <v>0</v>
      </c>
      <c r="J28" s="184"/>
      <c r="K28" s="183" t="b">
        <v>0</v>
      </c>
      <c r="L28" s="185"/>
      <c r="N28" s="182"/>
      <c r="O28" s="183" t="b">
        <v>0</v>
      </c>
      <c r="P28" s="184"/>
      <c r="Q28" s="183" t="b">
        <v>0</v>
      </c>
      <c r="R28" s="185"/>
      <c r="T28" s="182"/>
      <c r="U28" s="183" t="b">
        <v>0</v>
      </c>
      <c r="V28" s="184"/>
      <c r="W28" s="183" t="b">
        <v>0</v>
      </c>
      <c r="X28" s="185"/>
    </row>
    <row r="29" spans="2:24" x14ac:dyDescent="0.3">
      <c r="B29" s="182"/>
      <c r="C29" s="183" t="b">
        <v>0</v>
      </c>
      <c r="D29" s="184"/>
      <c r="E29" s="183" t="b">
        <v>0</v>
      </c>
      <c r="F29" s="185"/>
      <c r="H29" s="182"/>
      <c r="I29" s="183" t="b">
        <v>0</v>
      </c>
      <c r="J29" s="184"/>
      <c r="K29" s="183" t="b">
        <v>0</v>
      </c>
      <c r="L29" s="185"/>
      <c r="N29" s="182"/>
      <c r="O29" s="183" t="b">
        <v>0</v>
      </c>
      <c r="P29" s="184"/>
      <c r="Q29" s="183" t="b">
        <v>0</v>
      </c>
      <c r="R29" s="185"/>
      <c r="T29" s="182"/>
      <c r="U29" s="183" t="b">
        <v>0</v>
      </c>
      <c r="V29" s="184"/>
      <c r="W29" s="183" t="b">
        <v>0</v>
      </c>
      <c r="X29" s="185"/>
    </row>
    <row r="30" spans="2:24" x14ac:dyDescent="0.3">
      <c r="B30" s="182"/>
      <c r="C30" s="183" t="b">
        <v>0</v>
      </c>
      <c r="D30" s="184"/>
      <c r="E30" s="183" t="b">
        <v>0</v>
      </c>
      <c r="F30" s="185"/>
      <c r="H30" s="182"/>
      <c r="I30" s="183" t="b">
        <v>0</v>
      </c>
      <c r="J30" s="184"/>
      <c r="K30" s="183" t="b">
        <v>0</v>
      </c>
      <c r="L30" s="185"/>
      <c r="N30" s="182"/>
      <c r="O30" s="183" t="b">
        <v>0</v>
      </c>
      <c r="P30" s="184"/>
      <c r="Q30" s="183" t="b">
        <v>0</v>
      </c>
      <c r="R30" s="185"/>
      <c r="T30" s="182"/>
      <c r="U30" s="183" t="b">
        <v>0</v>
      </c>
      <c r="V30" s="184"/>
      <c r="W30" s="183" t="b">
        <v>0</v>
      </c>
      <c r="X30" s="185"/>
    </row>
    <row r="31" spans="2:24" ht="15" thickBot="1" x14ac:dyDescent="0.35">
      <c r="B31" s="186"/>
      <c r="C31" s="187" t="b">
        <v>0</v>
      </c>
      <c r="D31" s="188"/>
      <c r="E31" s="187" t="b">
        <v>0</v>
      </c>
      <c r="F31" s="189"/>
      <c r="H31" s="186"/>
      <c r="I31" s="187" t="b">
        <v>0</v>
      </c>
      <c r="J31" s="188"/>
      <c r="K31" s="187" t="b">
        <v>0</v>
      </c>
      <c r="L31" s="189"/>
      <c r="N31" s="186"/>
      <c r="O31" s="187" t="b">
        <v>0</v>
      </c>
      <c r="P31" s="188"/>
      <c r="Q31" s="187" t="b">
        <v>0</v>
      </c>
      <c r="R31" s="189"/>
      <c r="T31" s="186"/>
      <c r="U31" s="187" t="b">
        <v>0</v>
      </c>
      <c r="V31" s="188"/>
      <c r="W31" s="187" t="b">
        <v>0</v>
      </c>
      <c r="X31" s="189"/>
    </row>
    <row r="34" spans="2:24" ht="15" thickBot="1" x14ac:dyDescent="0.35"/>
    <row r="35" spans="2:24" ht="15.6" x14ac:dyDescent="0.3">
      <c r="B35" s="177" t="s">
        <v>129</v>
      </c>
      <c r="C35" s="225" t="s">
        <v>137</v>
      </c>
      <c r="D35" s="225"/>
      <c r="E35" s="225"/>
      <c r="F35" s="178" t="s">
        <v>129</v>
      </c>
      <c r="G35" s="179"/>
      <c r="H35" s="177" t="s">
        <v>129</v>
      </c>
      <c r="I35" s="225" t="s">
        <v>138</v>
      </c>
      <c r="J35" s="225"/>
      <c r="K35" s="225"/>
      <c r="L35" s="178" t="s">
        <v>129</v>
      </c>
      <c r="M35" s="179"/>
      <c r="N35" s="177" t="s">
        <v>129</v>
      </c>
      <c r="O35" s="225" t="s">
        <v>139</v>
      </c>
      <c r="P35" s="225"/>
      <c r="Q35" s="225"/>
      <c r="R35" s="178" t="s">
        <v>129</v>
      </c>
      <c r="S35" s="179"/>
      <c r="T35" s="177" t="s">
        <v>129</v>
      </c>
      <c r="U35" s="225" t="s">
        <v>140</v>
      </c>
      <c r="V35" s="225"/>
      <c r="W35" s="225"/>
      <c r="X35" s="178" t="s">
        <v>129</v>
      </c>
    </row>
    <row r="36" spans="2:24" x14ac:dyDescent="0.3">
      <c r="B36" s="180" t="s">
        <v>134</v>
      </c>
      <c r="C36" s="223" t="s">
        <v>135</v>
      </c>
      <c r="D36" s="223"/>
      <c r="E36" s="223"/>
      <c r="F36" s="181" t="s">
        <v>134</v>
      </c>
      <c r="G36" s="179"/>
      <c r="H36" s="180" t="s">
        <v>134</v>
      </c>
      <c r="I36" s="223" t="s">
        <v>135</v>
      </c>
      <c r="J36" s="223"/>
      <c r="K36" s="223"/>
      <c r="L36" s="181" t="s">
        <v>134</v>
      </c>
      <c r="M36" s="179"/>
      <c r="N36" s="180" t="s">
        <v>134</v>
      </c>
      <c r="O36" s="223" t="s">
        <v>135</v>
      </c>
      <c r="P36" s="223"/>
      <c r="Q36" s="223"/>
      <c r="R36" s="181" t="s">
        <v>134</v>
      </c>
      <c r="S36" s="179"/>
      <c r="T36" s="180" t="s">
        <v>134</v>
      </c>
      <c r="U36" s="223" t="s">
        <v>135</v>
      </c>
      <c r="V36" s="223"/>
      <c r="W36" s="223"/>
      <c r="X36" s="181" t="s">
        <v>134</v>
      </c>
    </row>
    <row r="37" spans="2:24" x14ac:dyDescent="0.3">
      <c r="B37" s="182"/>
      <c r="C37" s="183" t="b">
        <v>0</v>
      </c>
      <c r="D37" s="184"/>
      <c r="E37" s="183" t="b">
        <v>0</v>
      </c>
      <c r="F37" s="185"/>
      <c r="H37" s="182"/>
      <c r="I37" s="183" t="b">
        <v>0</v>
      </c>
      <c r="J37" s="184"/>
      <c r="K37" s="183" t="b">
        <v>0</v>
      </c>
      <c r="L37" s="185"/>
      <c r="N37" s="182"/>
      <c r="O37" s="183" t="b">
        <v>0</v>
      </c>
      <c r="P37" s="184"/>
      <c r="Q37" s="183" t="b">
        <v>0</v>
      </c>
      <c r="R37" s="185"/>
      <c r="T37" s="182"/>
      <c r="U37" s="183" t="b">
        <v>0</v>
      </c>
      <c r="V37" s="184"/>
      <c r="W37" s="183" t="b">
        <v>0</v>
      </c>
      <c r="X37" s="185"/>
    </row>
    <row r="38" spans="2:24" x14ac:dyDescent="0.3">
      <c r="B38" s="182"/>
      <c r="C38" s="183" t="b">
        <v>0</v>
      </c>
      <c r="D38" s="184"/>
      <c r="E38" s="183" t="b">
        <v>0</v>
      </c>
      <c r="F38" s="185"/>
      <c r="H38" s="182"/>
      <c r="I38" s="183" t="b">
        <v>0</v>
      </c>
      <c r="J38" s="184"/>
      <c r="K38" s="183" t="b">
        <v>0</v>
      </c>
      <c r="L38" s="185"/>
      <c r="N38" s="182"/>
      <c r="O38" s="183" t="b">
        <v>0</v>
      </c>
      <c r="P38" s="184"/>
      <c r="Q38" s="183" t="b">
        <v>0</v>
      </c>
      <c r="R38" s="185"/>
      <c r="T38" s="182"/>
      <c r="U38" s="183" t="b">
        <v>0</v>
      </c>
      <c r="V38" s="184"/>
      <c r="W38" s="183" t="b">
        <v>0</v>
      </c>
      <c r="X38" s="185"/>
    </row>
    <row r="39" spans="2:24" x14ac:dyDescent="0.3">
      <c r="B39" s="182"/>
      <c r="C39" s="183" t="b">
        <v>0</v>
      </c>
      <c r="D39" s="184"/>
      <c r="E39" s="183" t="b">
        <v>0</v>
      </c>
      <c r="F39" s="185"/>
      <c r="H39" s="182"/>
      <c r="I39" s="183" t="b">
        <v>0</v>
      </c>
      <c r="J39" s="184"/>
      <c r="K39" s="183" t="b">
        <v>0</v>
      </c>
      <c r="L39" s="185"/>
      <c r="N39" s="182"/>
      <c r="O39" s="183" t="b">
        <v>0</v>
      </c>
      <c r="P39" s="184"/>
      <c r="Q39" s="183" t="b">
        <v>0</v>
      </c>
      <c r="R39" s="185"/>
      <c r="T39" s="182"/>
      <c r="U39" s="183" t="b">
        <v>0</v>
      </c>
      <c r="V39" s="184"/>
      <c r="W39" s="183" t="b">
        <v>0</v>
      </c>
      <c r="X39" s="185"/>
    </row>
    <row r="40" spans="2:24" x14ac:dyDescent="0.3">
      <c r="B40" s="182"/>
      <c r="C40" s="183" t="b">
        <v>0</v>
      </c>
      <c r="D40" s="184"/>
      <c r="E40" s="183" t="b">
        <v>0</v>
      </c>
      <c r="F40" s="185"/>
      <c r="H40" s="182"/>
      <c r="I40" s="183" t="b">
        <v>0</v>
      </c>
      <c r="J40" s="184"/>
      <c r="K40" s="183" t="b">
        <v>0</v>
      </c>
      <c r="L40" s="185"/>
      <c r="N40" s="182"/>
      <c r="O40" s="183" t="b">
        <v>0</v>
      </c>
      <c r="P40" s="184"/>
      <c r="Q40" s="183" t="b">
        <v>0</v>
      </c>
      <c r="R40" s="185"/>
      <c r="T40" s="182"/>
      <c r="U40" s="183" t="b">
        <v>0</v>
      </c>
      <c r="V40" s="184"/>
      <c r="W40" s="183" t="b">
        <v>0</v>
      </c>
      <c r="X40" s="185"/>
    </row>
    <row r="41" spans="2:24" x14ac:dyDescent="0.3">
      <c r="B41" s="182"/>
      <c r="C41" s="183" t="b">
        <v>0</v>
      </c>
      <c r="D41" s="184"/>
      <c r="E41" s="183" t="b">
        <v>0</v>
      </c>
      <c r="F41" s="185"/>
      <c r="H41" s="182"/>
      <c r="I41" s="183" t="b">
        <v>0</v>
      </c>
      <c r="J41" s="184"/>
      <c r="K41" s="183" t="b">
        <v>0</v>
      </c>
      <c r="L41" s="185"/>
      <c r="N41" s="182"/>
      <c r="O41" s="183" t="b">
        <v>0</v>
      </c>
      <c r="P41" s="184"/>
      <c r="Q41" s="183" t="b">
        <v>0</v>
      </c>
      <c r="R41" s="185"/>
      <c r="T41" s="182"/>
      <c r="U41" s="183" t="b">
        <v>0</v>
      </c>
      <c r="V41" s="184"/>
      <c r="W41" s="183" t="b">
        <v>0</v>
      </c>
      <c r="X41" s="185"/>
    </row>
    <row r="42" spans="2:24" x14ac:dyDescent="0.3">
      <c r="B42" s="182"/>
      <c r="C42" s="183" t="b">
        <v>0</v>
      </c>
      <c r="D42" s="184"/>
      <c r="E42" s="183" t="b">
        <v>0</v>
      </c>
      <c r="F42" s="185"/>
      <c r="H42" s="182"/>
      <c r="I42" s="183" t="b">
        <v>0</v>
      </c>
      <c r="J42" s="184"/>
      <c r="K42" s="183" t="b">
        <v>0</v>
      </c>
      <c r="L42" s="185"/>
      <c r="N42" s="182"/>
      <c r="O42" s="183" t="b">
        <v>0</v>
      </c>
      <c r="P42" s="184"/>
      <c r="Q42" s="183" t="b">
        <v>0</v>
      </c>
      <c r="R42" s="185"/>
      <c r="T42" s="182"/>
      <c r="U42" s="183" t="b">
        <v>0</v>
      </c>
      <c r="V42" s="184"/>
      <c r="W42" s="183" t="b">
        <v>0</v>
      </c>
      <c r="X42" s="185"/>
    </row>
    <row r="43" spans="2:24" x14ac:dyDescent="0.3">
      <c r="B43" s="182"/>
      <c r="C43" s="183" t="b">
        <v>0</v>
      </c>
      <c r="D43" s="184"/>
      <c r="E43" s="183" t="b">
        <v>0</v>
      </c>
      <c r="F43" s="185"/>
      <c r="H43" s="182"/>
      <c r="I43" s="183" t="b">
        <v>0</v>
      </c>
      <c r="J43" s="184"/>
      <c r="K43" s="183" t="b">
        <v>0</v>
      </c>
      <c r="L43" s="185"/>
      <c r="N43" s="182"/>
      <c r="O43" s="183" t="b">
        <v>0</v>
      </c>
      <c r="P43" s="184"/>
      <c r="Q43" s="183" t="b">
        <v>0</v>
      </c>
      <c r="R43" s="185"/>
      <c r="T43" s="182"/>
      <c r="U43" s="183" t="b">
        <v>0</v>
      </c>
      <c r="V43" s="184"/>
      <c r="W43" s="183" t="b">
        <v>0</v>
      </c>
      <c r="X43" s="185"/>
    </row>
    <row r="44" spans="2:24" x14ac:dyDescent="0.3">
      <c r="B44" s="182"/>
      <c r="C44" s="183" t="b">
        <v>0</v>
      </c>
      <c r="D44" s="184"/>
      <c r="E44" s="183" t="b">
        <v>0</v>
      </c>
      <c r="F44" s="185"/>
      <c r="H44" s="182"/>
      <c r="I44" s="183" t="b">
        <v>0</v>
      </c>
      <c r="J44" s="184"/>
      <c r="K44" s="183" t="b">
        <v>0</v>
      </c>
      <c r="L44" s="185"/>
      <c r="N44" s="182"/>
      <c r="O44" s="183" t="b">
        <v>0</v>
      </c>
      <c r="P44" s="184"/>
      <c r="Q44" s="183" t="b">
        <v>0</v>
      </c>
      <c r="R44" s="185"/>
      <c r="T44" s="182"/>
      <c r="U44" s="183" t="b">
        <v>0</v>
      </c>
      <c r="V44" s="184"/>
      <c r="W44" s="183" t="b">
        <v>0</v>
      </c>
      <c r="X44" s="185"/>
    </row>
    <row r="45" spans="2:24" x14ac:dyDescent="0.3">
      <c r="B45" s="182"/>
      <c r="C45" s="183" t="b">
        <v>0</v>
      </c>
      <c r="D45" s="184"/>
      <c r="E45" s="183" t="b">
        <v>0</v>
      </c>
      <c r="F45" s="185"/>
      <c r="H45" s="182"/>
      <c r="I45" s="183" t="b">
        <v>0</v>
      </c>
      <c r="J45" s="184"/>
      <c r="K45" s="183" t="b">
        <v>0</v>
      </c>
      <c r="L45" s="185"/>
      <c r="N45" s="182"/>
      <c r="O45" s="183" t="b">
        <v>0</v>
      </c>
      <c r="P45" s="184"/>
      <c r="Q45" s="183" t="b">
        <v>0</v>
      </c>
      <c r="R45" s="185"/>
      <c r="T45" s="182"/>
      <c r="U45" s="183" t="b">
        <v>0</v>
      </c>
      <c r="V45" s="184"/>
      <c r="W45" s="183" t="b">
        <v>0</v>
      </c>
      <c r="X45" s="185"/>
    </row>
    <row r="46" spans="2:24" x14ac:dyDescent="0.3">
      <c r="B46" s="182"/>
      <c r="C46" s="183" t="b">
        <v>0</v>
      </c>
      <c r="D46" s="184"/>
      <c r="E46" s="183" t="b">
        <v>0</v>
      </c>
      <c r="F46" s="185"/>
      <c r="H46" s="182"/>
      <c r="I46" s="183" t="b">
        <v>0</v>
      </c>
      <c r="J46" s="184"/>
      <c r="K46" s="183" t="b">
        <v>0</v>
      </c>
      <c r="L46" s="185"/>
      <c r="N46" s="182"/>
      <c r="O46" s="183" t="b">
        <v>0</v>
      </c>
      <c r="P46" s="184"/>
      <c r="Q46" s="183" t="b">
        <v>0</v>
      </c>
      <c r="R46" s="185"/>
      <c r="T46" s="182"/>
      <c r="U46" s="183" t="b">
        <v>0</v>
      </c>
      <c r="V46" s="184"/>
      <c r="W46" s="183" t="b">
        <v>0</v>
      </c>
      <c r="X46" s="185"/>
    </row>
    <row r="47" spans="2:24" x14ac:dyDescent="0.3">
      <c r="B47" s="182"/>
      <c r="C47" s="183" t="b">
        <v>0</v>
      </c>
      <c r="D47" s="184"/>
      <c r="E47" s="183" t="b">
        <v>0</v>
      </c>
      <c r="F47" s="185"/>
      <c r="H47" s="182"/>
      <c r="I47" s="183" t="b">
        <v>0</v>
      </c>
      <c r="J47" s="184"/>
      <c r="K47" s="183" t="b">
        <v>0</v>
      </c>
      <c r="L47" s="185"/>
      <c r="N47" s="182"/>
      <c r="O47" s="183" t="b">
        <v>0</v>
      </c>
      <c r="P47" s="184"/>
      <c r="Q47" s="183" t="b">
        <v>0</v>
      </c>
      <c r="R47" s="185"/>
      <c r="T47" s="182"/>
      <c r="U47" s="183" t="b">
        <v>0</v>
      </c>
      <c r="V47" s="184"/>
      <c r="W47" s="183" t="b">
        <v>0</v>
      </c>
      <c r="X47" s="185"/>
    </row>
    <row r="48" spans="2:24" x14ac:dyDescent="0.3">
      <c r="B48" s="182"/>
      <c r="C48" s="183" t="b">
        <v>0</v>
      </c>
      <c r="D48" s="184"/>
      <c r="E48" s="183" t="b">
        <v>0</v>
      </c>
      <c r="F48" s="185"/>
      <c r="H48" s="182"/>
      <c r="I48" s="183" t="b">
        <v>0</v>
      </c>
      <c r="J48" s="184"/>
      <c r="K48" s="183" t="b">
        <v>0</v>
      </c>
      <c r="L48" s="185"/>
      <c r="N48" s="182"/>
      <c r="O48" s="183" t="b">
        <v>0</v>
      </c>
      <c r="P48" s="184"/>
      <c r="Q48" s="183" t="b">
        <v>0</v>
      </c>
      <c r="R48" s="185"/>
      <c r="T48" s="182"/>
      <c r="U48" s="183" t="b">
        <v>0</v>
      </c>
      <c r="V48" s="184"/>
      <c r="W48" s="183" t="b">
        <v>0</v>
      </c>
      <c r="X48" s="185"/>
    </row>
    <row r="49" spans="2:24" x14ac:dyDescent="0.3">
      <c r="B49" s="182"/>
      <c r="C49" s="183" t="b">
        <v>0</v>
      </c>
      <c r="D49" s="184"/>
      <c r="E49" s="183" t="b">
        <v>0</v>
      </c>
      <c r="F49" s="185"/>
      <c r="H49" s="182"/>
      <c r="I49" s="183" t="b">
        <v>0</v>
      </c>
      <c r="J49" s="184"/>
      <c r="K49" s="183" t="b">
        <v>0</v>
      </c>
      <c r="L49" s="185"/>
      <c r="N49" s="182"/>
      <c r="O49" s="183" t="b">
        <v>0</v>
      </c>
      <c r="P49" s="184"/>
      <c r="Q49" s="183" t="b">
        <v>0</v>
      </c>
      <c r="R49" s="185"/>
      <c r="T49" s="182"/>
      <c r="U49" s="183" t="b">
        <v>0</v>
      </c>
      <c r="V49" s="184"/>
      <c r="W49" s="183" t="b">
        <v>0</v>
      </c>
      <c r="X49" s="185"/>
    </row>
    <row r="50" spans="2:24" x14ac:dyDescent="0.3">
      <c r="B50" s="182"/>
      <c r="C50" s="183" t="b">
        <v>0</v>
      </c>
      <c r="D50" s="184"/>
      <c r="E50" s="183" t="b">
        <v>0</v>
      </c>
      <c r="F50" s="185"/>
      <c r="H50" s="182"/>
      <c r="I50" s="183" t="b">
        <v>0</v>
      </c>
      <c r="J50" s="184"/>
      <c r="K50" s="183" t="b">
        <v>0</v>
      </c>
      <c r="L50" s="185"/>
      <c r="N50" s="182"/>
      <c r="O50" s="183" t="b">
        <v>0</v>
      </c>
      <c r="P50" s="184"/>
      <c r="Q50" s="183" t="b">
        <v>0</v>
      </c>
      <c r="R50" s="185"/>
      <c r="T50" s="182"/>
      <c r="U50" s="183" t="b">
        <v>0</v>
      </c>
      <c r="V50" s="184"/>
      <c r="W50" s="183" t="b">
        <v>0</v>
      </c>
      <c r="X50" s="185"/>
    </row>
    <row r="51" spans="2:24" x14ac:dyDescent="0.3">
      <c r="B51" s="182"/>
      <c r="C51" s="183" t="b">
        <v>0</v>
      </c>
      <c r="D51" s="184"/>
      <c r="E51" s="183" t="b">
        <v>0</v>
      </c>
      <c r="F51" s="185"/>
      <c r="H51" s="182"/>
      <c r="I51" s="183" t="b">
        <v>0</v>
      </c>
      <c r="J51" s="184"/>
      <c r="K51" s="183" t="b">
        <v>0</v>
      </c>
      <c r="L51" s="185"/>
      <c r="N51" s="182"/>
      <c r="O51" s="183" t="b">
        <v>0</v>
      </c>
      <c r="P51" s="184"/>
      <c r="Q51" s="183" t="b">
        <v>0</v>
      </c>
      <c r="R51" s="185"/>
      <c r="T51" s="182"/>
      <c r="U51" s="183" t="b">
        <v>0</v>
      </c>
      <c r="V51" s="184"/>
      <c r="W51" s="183" t="b">
        <v>0</v>
      </c>
      <c r="X51" s="185"/>
    </row>
    <row r="52" spans="2:24" x14ac:dyDescent="0.3">
      <c r="B52" s="182"/>
      <c r="C52" s="183" t="b">
        <v>0</v>
      </c>
      <c r="D52" s="184"/>
      <c r="E52" s="183" t="b">
        <v>0</v>
      </c>
      <c r="F52" s="185"/>
      <c r="H52" s="182"/>
      <c r="I52" s="183" t="b">
        <v>0</v>
      </c>
      <c r="J52" s="184"/>
      <c r="K52" s="183" t="b">
        <v>0</v>
      </c>
      <c r="L52" s="185"/>
      <c r="N52" s="182"/>
      <c r="O52" s="183" t="b">
        <v>0</v>
      </c>
      <c r="P52" s="184"/>
      <c r="Q52" s="183" t="b">
        <v>0</v>
      </c>
      <c r="R52" s="185"/>
      <c r="T52" s="182"/>
      <c r="U52" s="183" t="b">
        <v>0</v>
      </c>
      <c r="V52" s="184"/>
      <c r="W52" s="183" t="b">
        <v>0</v>
      </c>
      <c r="X52" s="185"/>
    </row>
    <row r="53" spans="2:24" x14ac:dyDescent="0.3">
      <c r="B53" s="182"/>
      <c r="C53" s="183" t="b">
        <v>0</v>
      </c>
      <c r="D53" s="184"/>
      <c r="E53" s="183" t="b">
        <v>0</v>
      </c>
      <c r="F53" s="185"/>
      <c r="H53" s="182"/>
      <c r="I53" s="183" t="b">
        <v>0</v>
      </c>
      <c r="J53" s="184"/>
      <c r="K53" s="183" t="b">
        <v>0</v>
      </c>
      <c r="L53" s="185"/>
      <c r="N53" s="182"/>
      <c r="O53" s="183" t="b">
        <v>0</v>
      </c>
      <c r="P53" s="184"/>
      <c r="Q53" s="183" t="b">
        <v>0</v>
      </c>
      <c r="R53" s="185"/>
      <c r="T53" s="182"/>
      <c r="U53" s="183" t="b">
        <v>0</v>
      </c>
      <c r="V53" s="184"/>
      <c r="W53" s="183" t="b">
        <v>0</v>
      </c>
      <c r="X53" s="185"/>
    </row>
    <row r="54" spans="2:24" x14ac:dyDescent="0.3">
      <c r="B54" s="182"/>
      <c r="C54" s="183" t="b">
        <v>0</v>
      </c>
      <c r="D54" s="184"/>
      <c r="E54" s="183" t="b">
        <v>0</v>
      </c>
      <c r="F54" s="185"/>
      <c r="H54" s="182"/>
      <c r="I54" s="183" t="b">
        <v>0</v>
      </c>
      <c r="J54" s="184"/>
      <c r="K54" s="183" t="b">
        <v>0</v>
      </c>
      <c r="L54" s="185"/>
      <c r="N54" s="182"/>
      <c r="O54" s="183" t="b">
        <v>0</v>
      </c>
      <c r="P54" s="184"/>
      <c r="Q54" s="183" t="b">
        <v>0</v>
      </c>
      <c r="R54" s="185"/>
      <c r="T54" s="182"/>
      <c r="U54" s="183" t="b">
        <v>0</v>
      </c>
      <c r="V54" s="184"/>
      <c r="W54" s="183" t="b">
        <v>0</v>
      </c>
      <c r="X54" s="185"/>
    </row>
    <row r="55" spans="2:24" x14ac:dyDescent="0.3">
      <c r="B55" s="182"/>
      <c r="C55" s="183" t="b">
        <v>0</v>
      </c>
      <c r="D55" s="184"/>
      <c r="E55" s="183" t="b">
        <v>0</v>
      </c>
      <c r="F55" s="185"/>
      <c r="H55" s="182"/>
      <c r="I55" s="183" t="b">
        <v>0</v>
      </c>
      <c r="J55" s="184"/>
      <c r="K55" s="183" t="b">
        <v>0</v>
      </c>
      <c r="L55" s="185"/>
      <c r="N55" s="182"/>
      <c r="O55" s="183" t="b">
        <v>0</v>
      </c>
      <c r="P55" s="184"/>
      <c r="Q55" s="183" t="b">
        <v>0</v>
      </c>
      <c r="R55" s="185"/>
      <c r="T55" s="182"/>
      <c r="U55" s="183" t="b">
        <v>0</v>
      </c>
      <c r="V55" s="184"/>
      <c r="W55" s="183" t="b">
        <v>0</v>
      </c>
      <c r="X55" s="185"/>
    </row>
    <row r="56" spans="2:24" x14ac:dyDescent="0.3">
      <c r="B56" s="182"/>
      <c r="C56" s="183" t="b">
        <v>0</v>
      </c>
      <c r="D56" s="184"/>
      <c r="E56" s="183" t="b">
        <v>0</v>
      </c>
      <c r="F56" s="185"/>
      <c r="H56" s="182"/>
      <c r="I56" s="183" t="b">
        <v>0</v>
      </c>
      <c r="J56" s="184"/>
      <c r="K56" s="183" t="b">
        <v>0</v>
      </c>
      <c r="L56" s="185"/>
      <c r="N56" s="182"/>
      <c r="O56" s="183" t="b">
        <v>0</v>
      </c>
      <c r="P56" s="184"/>
      <c r="Q56" s="183" t="b">
        <v>0</v>
      </c>
      <c r="R56" s="185"/>
      <c r="T56" s="182"/>
      <c r="U56" s="183" t="b">
        <v>0</v>
      </c>
      <c r="V56" s="184"/>
      <c r="W56" s="183" t="b">
        <v>0</v>
      </c>
      <c r="X56" s="185"/>
    </row>
    <row r="57" spans="2:24" x14ac:dyDescent="0.3">
      <c r="B57" s="182"/>
      <c r="C57" s="183" t="b">
        <v>0</v>
      </c>
      <c r="D57" s="184"/>
      <c r="E57" s="183" t="b">
        <v>0</v>
      </c>
      <c r="F57" s="185"/>
      <c r="H57" s="182"/>
      <c r="I57" s="183" t="b">
        <v>0</v>
      </c>
      <c r="J57" s="184"/>
      <c r="K57" s="183" t="b">
        <v>0</v>
      </c>
      <c r="L57" s="185"/>
      <c r="N57" s="182"/>
      <c r="O57" s="183" t="b">
        <v>0</v>
      </c>
      <c r="P57" s="184"/>
      <c r="Q57" s="183" t="b">
        <v>0</v>
      </c>
      <c r="R57" s="185"/>
      <c r="T57" s="182"/>
      <c r="U57" s="183" t="b">
        <v>0</v>
      </c>
      <c r="V57" s="184"/>
      <c r="W57" s="183" t="b">
        <v>0</v>
      </c>
      <c r="X57" s="185"/>
    </row>
    <row r="58" spans="2:24" ht="15" thickBot="1" x14ac:dyDescent="0.35">
      <c r="B58" s="186"/>
      <c r="C58" s="187" t="b">
        <v>0</v>
      </c>
      <c r="D58" s="188"/>
      <c r="E58" s="187" t="b">
        <v>0</v>
      </c>
      <c r="F58" s="189"/>
      <c r="H58" s="186"/>
      <c r="I58" s="187" t="b">
        <v>0</v>
      </c>
      <c r="J58" s="188"/>
      <c r="K58" s="187" t="b">
        <v>0</v>
      </c>
      <c r="L58" s="189"/>
      <c r="N58" s="186"/>
      <c r="O58" s="187" t="b">
        <v>0</v>
      </c>
      <c r="P58" s="188"/>
      <c r="Q58" s="187" t="b">
        <v>0</v>
      </c>
      <c r="R58" s="189"/>
      <c r="T58" s="186"/>
      <c r="U58" s="187" t="b">
        <v>0</v>
      </c>
      <c r="V58" s="188"/>
      <c r="W58" s="187" t="b">
        <v>0</v>
      </c>
      <c r="X58" s="189"/>
    </row>
    <row r="60" spans="2:24" ht="15" thickBot="1" x14ac:dyDescent="0.35"/>
    <row r="61" spans="2:24" ht="15.6" x14ac:dyDescent="0.3">
      <c r="B61" s="177" t="s">
        <v>129</v>
      </c>
      <c r="C61" s="225" t="s">
        <v>141</v>
      </c>
      <c r="D61" s="225"/>
      <c r="E61" s="225"/>
      <c r="F61" s="178" t="s">
        <v>129</v>
      </c>
      <c r="G61" s="179"/>
      <c r="H61" s="177" t="s">
        <v>129</v>
      </c>
      <c r="I61" s="225" t="s">
        <v>142</v>
      </c>
      <c r="J61" s="225"/>
      <c r="K61" s="225"/>
      <c r="L61" s="178" t="s">
        <v>129</v>
      </c>
      <c r="M61" s="179"/>
      <c r="N61" s="177" t="s">
        <v>129</v>
      </c>
      <c r="O61" s="225" t="s">
        <v>143</v>
      </c>
      <c r="P61" s="225"/>
      <c r="Q61" s="225"/>
      <c r="R61" s="178" t="s">
        <v>129</v>
      </c>
      <c r="S61" s="179"/>
      <c r="T61" s="177" t="s">
        <v>129</v>
      </c>
      <c r="U61" s="225" t="s">
        <v>144</v>
      </c>
      <c r="V61" s="225"/>
      <c r="W61" s="225"/>
      <c r="X61" s="178" t="s">
        <v>129</v>
      </c>
    </row>
    <row r="62" spans="2:24" x14ac:dyDescent="0.3">
      <c r="B62" s="180" t="s">
        <v>134</v>
      </c>
      <c r="C62" s="223" t="s">
        <v>135</v>
      </c>
      <c r="D62" s="223"/>
      <c r="E62" s="223"/>
      <c r="F62" s="181" t="s">
        <v>134</v>
      </c>
      <c r="G62" s="179"/>
      <c r="H62" s="180" t="s">
        <v>134</v>
      </c>
      <c r="I62" s="223" t="s">
        <v>135</v>
      </c>
      <c r="J62" s="223"/>
      <c r="K62" s="223"/>
      <c r="L62" s="181" t="s">
        <v>134</v>
      </c>
      <c r="M62" s="179"/>
      <c r="N62" s="180" t="s">
        <v>134</v>
      </c>
      <c r="O62" s="223" t="s">
        <v>135</v>
      </c>
      <c r="P62" s="223"/>
      <c r="Q62" s="223"/>
      <c r="R62" s="181" t="s">
        <v>134</v>
      </c>
      <c r="S62" s="179"/>
      <c r="T62" s="180" t="s">
        <v>134</v>
      </c>
      <c r="U62" s="223" t="s">
        <v>135</v>
      </c>
      <c r="V62" s="223"/>
      <c r="W62" s="223"/>
      <c r="X62" s="181" t="s">
        <v>134</v>
      </c>
    </row>
    <row r="63" spans="2:24" x14ac:dyDescent="0.3">
      <c r="B63" s="182"/>
      <c r="C63" s="183" t="b">
        <v>0</v>
      </c>
      <c r="D63" s="184"/>
      <c r="E63" s="183" t="b">
        <v>0</v>
      </c>
      <c r="F63" s="185"/>
      <c r="H63" s="182"/>
      <c r="I63" s="183" t="b">
        <v>0</v>
      </c>
      <c r="J63" s="184"/>
      <c r="K63" s="183" t="b">
        <v>0</v>
      </c>
      <c r="L63" s="185"/>
      <c r="N63" s="182"/>
      <c r="O63" s="183" t="b">
        <v>0</v>
      </c>
      <c r="P63" s="184"/>
      <c r="Q63" s="183" t="b">
        <v>0</v>
      </c>
      <c r="R63" s="185"/>
      <c r="T63" s="182"/>
      <c r="U63" s="183" t="b">
        <v>0</v>
      </c>
      <c r="V63" s="184"/>
      <c r="W63" s="183" t="b">
        <v>0</v>
      </c>
      <c r="X63" s="185"/>
    </row>
    <row r="64" spans="2:24" x14ac:dyDescent="0.3">
      <c r="B64" s="182"/>
      <c r="C64" s="183" t="b">
        <v>0</v>
      </c>
      <c r="D64" s="184"/>
      <c r="E64" s="183" t="b">
        <v>0</v>
      </c>
      <c r="F64" s="185"/>
      <c r="H64" s="182"/>
      <c r="I64" s="183" t="b">
        <v>0</v>
      </c>
      <c r="J64" s="184"/>
      <c r="K64" s="183" t="b">
        <v>0</v>
      </c>
      <c r="L64" s="185"/>
      <c r="N64" s="182"/>
      <c r="O64" s="183" t="b">
        <v>0</v>
      </c>
      <c r="P64" s="184"/>
      <c r="Q64" s="183" t="b">
        <v>0</v>
      </c>
      <c r="R64" s="185"/>
      <c r="T64" s="182"/>
      <c r="U64" s="183" t="b">
        <v>0</v>
      </c>
      <c r="V64" s="184"/>
      <c r="W64" s="183" t="b">
        <v>0</v>
      </c>
      <c r="X64" s="185"/>
    </row>
    <row r="65" spans="2:24" x14ac:dyDescent="0.3">
      <c r="B65" s="182"/>
      <c r="C65" s="183" t="b">
        <v>0</v>
      </c>
      <c r="D65" s="184"/>
      <c r="E65" s="183" t="b">
        <v>0</v>
      </c>
      <c r="F65" s="185"/>
      <c r="H65" s="182"/>
      <c r="I65" s="183" t="b">
        <v>0</v>
      </c>
      <c r="J65" s="184"/>
      <c r="K65" s="183" t="b">
        <v>0</v>
      </c>
      <c r="L65" s="185"/>
      <c r="N65" s="182"/>
      <c r="O65" s="183" t="b">
        <v>0</v>
      </c>
      <c r="P65" s="184"/>
      <c r="Q65" s="183" t="b">
        <v>0</v>
      </c>
      <c r="R65" s="185"/>
      <c r="T65" s="182"/>
      <c r="U65" s="183" t="b">
        <v>0</v>
      </c>
      <c r="V65" s="184"/>
      <c r="W65" s="183" t="b">
        <v>0</v>
      </c>
      <c r="X65" s="185"/>
    </row>
    <row r="66" spans="2:24" x14ac:dyDescent="0.3">
      <c r="B66" s="182"/>
      <c r="C66" s="183" t="b">
        <v>0</v>
      </c>
      <c r="D66" s="184"/>
      <c r="E66" s="183" t="b">
        <v>0</v>
      </c>
      <c r="F66" s="185"/>
      <c r="H66" s="182"/>
      <c r="I66" s="183" t="b">
        <v>0</v>
      </c>
      <c r="J66" s="184"/>
      <c r="K66" s="183" t="b">
        <v>0</v>
      </c>
      <c r="L66" s="185"/>
      <c r="N66" s="182"/>
      <c r="O66" s="183" t="b">
        <v>0</v>
      </c>
      <c r="P66" s="184"/>
      <c r="Q66" s="183" t="b">
        <v>0</v>
      </c>
      <c r="R66" s="185"/>
      <c r="T66" s="182"/>
      <c r="U66" s="183" t="b">
        <v>0</v>
      </c>
      <c r="V66" s="184"/>
      <c r="W66" s="183" t="b">
        <v>0</v>
      </c>
      <c r="X66" s="185"/>
    </row>
    <row r="67" spans="2:24" x14ac:dyDescent="0.3">
      <c r="B67" s="182"/>
      <c r="C67" s="183" t="b">
        <v>0</v>
      </c>
      <c r="D67" s="184"/>
      <c r="E67" s="183" t="b">
        <v>0</v>
      </c>
      <c r="F67" s="185"/>
      <c r="H67" s="182"/>
      <c r="I67" s="183" t="b">
        <v>0</v>
      </c>
      <c r="J67" s="184"/>
      <c r="K67" s="183" t="b">
        <v>0</v>
      </c>
      <c r="L67" s="185"/>
      <c r="N67" s="182"/>
      <c r="O67" s="183" t="b">
        <v>0</v>
      </c>
      <c r="P67" s="184"/>
      <c r="Q67" s="183" t="b">
        <v>0</v>
      </c>
      <c r="R67" s="185"/>
      <c r="T67" s="182"/>
      <c r="U67" s="183" t="b">
        <v>0</v>
      </c>
      <c r="V67" s="184"/>
      <c r="W67" s="183" t="b">
        <v>0</v>
      </c>
      <c r="X67" s="185"/>
    </row>
    <row r="68" spans="2:24" x14ac:dyDescent="0.3">
      <c r="B68" s="182"/>
      <c r="C68" s="183" t="b">
        <v>0</v>
      </c>
      <c r="D68" s="184"/>
      <c r="E68" s="183" t="b">
        <v>0</v>
      </c>
      <c r="F68" s="185"/>
      <c r="H68" s="182"/>
      <c r="I68" s="183" t="b">
        <v>0</v>
      </c>
      <c r="J68" s="184"/>
      <c r="K68" s="183" t="b">
        <v>0</v>
      </c>
      <c r="L68" s="185"/>
      <c r="N68" s="182"/>
      <c r="O68" s="183" t="b">
        <v>0</v>
      </c>
      <c r="P68" s="184"/>
      <c r="Q68" s="183" t="b">
        <v>0</v>
      </c>
      <c r="R68" s="185"/>
      <c r="T68" s="182"/>
      <c r="U68" s="183" t="b">
        <v>0</v>
      </c>
      <c r="V68" s="184"/>
      <c r="W68" s="183" t="b">
        <v>0</v>
      </c>
      <c r="X68" s="185"/>
    </row>
    <row r="69" spans="2:24" x14ac:dyDescent="0.3">
      <c r="B69" s="182"/>
      <c r="C69" s="183" t="b">
        <v>0</v>
      </c>
      <c r="D69" s="184"/>
      <c r="E69" s="183" t="b">
        <v>0</v>
      </c>
      <c r="F69" s="185"/>
      <c r="H69" s="182"/>
      <c r="I69" s="183" t="b">
        <v>0</v>
      </c>
      <c r="J69" s="184"/>
      <c r="K69" s="183" t="b">
        <v>0</v>
      </c>
      <c r="L69" s="185"/>
      <c r="N69" s="182"/>
      <c r="O69" s="183" t="b">
        <v>0</v>
      </c>
      <c r="P69" s="184"/>
      <c r="Q69" s="183" t="b">
        <v>0</v>
      </c>
      <c r="R69" s="185"/>
      <c r="T69" s="182"/>
      <c r="U69" s="183" t="b">
        <v>0</v>
      </c>
      <c r="V69" s="184"/>
      <c r="W69" s="183" t="b">
        <v>0</v>
      </c>
      <c r="X69" s="185"/>
    </row>
    <row r="70" spans="2:24" x14ac:dyDescent="0.3">
      <c r="B70" s="182"/>
      <c r="C70" s="183" t="b">
        <v>0</v>
      </c>
      <c r="D70" s="184"/>
      <c r="E70" s="183" t="b">
        <v>0</v>
      </c>
      <c r="F70" s="185"/>
      <c r="H70" s="182"/>
      <c r="I70" s="183" t="b">
        <v>0</v>
      </c>
      <c r="J70" s="184"/>
      <c r="K70" s="183" t="b">
        <v>0</v>
      </c>
      <c r="L70" s="185"/>
      <c r="N70" s="182"/>
      <c r="O70" s="183" t="b">
        <v>0</v>
      </c>
      <c r="P70" s="184"/>
      <c r="Q70" s="183" t="b">
        <v>0</v>
      </c>
      <c r="R70" s="185"/>
      <c r="T70" s="182"/>
      <c r="U70" s="183" t="b">
        <v>0</v>
      </c>
      <c r="V70" s="184"/>
      <c r="W70" s="183" t="b">
        <v>0</v>
      </c>
      <c r="X70" s="185"/>
    </row>
    <row r="71" spans="2:24" x14ac:dyDescent="0.3">
      <c r="B71" s="182"/>
      <c r="C71" s="183" t="b">
        <v>0</v>
      </c>
      <c r="D71" s="184"/>
      <c r="E71" s="183" t="b">
        <v>0</v>
      </c>
      <c r="F71" s="185"/>
      <c r="H71" s="182"/>
      <c r="I71" s="183" t="b">
        <v>0</v>
      </c>
      <c r="J71" s="184"/>
      <c r="K71" s="183" t="b">
        <v>0</v>
      </c>
      <c r="L71" s="185"/>
      <c r="N71" s="182"/>
      <c r="O71" s="183" t="b">
        <v>0</v>
      </c>
      <c r="P71" s="184"/>
      <c r="Q71" s="183" t="b">
        <v>0</v>
      </c>
      <c r="R71" s="185"/>
      <c r="T71" s="182"/>
      <c r="U71" s="183" t="b">
        <v>0</v>
      </c>
      <c r="V71" s="184"/>
      <c r="W71" s="183" t="b">
        <v>0</v>
      </c>
      <c r="X71" s="185"/>
    </row>
    <row r="72" spans="2:24" x14ac:dyDescent="0.3">
      <c r="B72" s="182"/>
      <c r="C72" s="183" t="b">
        <v>0</v>
      </c>
      <c r="D72" s="184"/>
      <c r="E72" s="183" t="b">
        <v>0</v>
      </c>
      <c r="F72" s="185"/>
      <c r="H72" s="182"/>
      <c r="I72" s="183" t="b">
        <v>0</v>
      </c>
      <c r="J72" s="184"/>
      <c r="K72" s="183" t="b">
        <v>0</v>
      </c>
      <c r="L72" s="185"/>
      <c r="N72" s="182"/>
      <c r="O72" s="183" t="b">
        <v>0</v>
      </c>
      <c r="P72" s="184"/>
      <c r="Q72" s="183" t="b">
        <v>0</v>
      </c>
      <c r="R72" s="185"/>
      <c r="T72" s="182"/>
      <c r="U72" s="183" t="b">
        <v>0</v>
      </c>
      <c r="V72" s="184"/>
      <c r="W72" s="183" t="b">
        <v>0</v>
      </c>
      <c r="X72" s="185"/>
    </row>
    <row r="73" spans="2:24" x14ac:dyDescent="0.3">
      <c r="B73" s="182"/>
      <c r="C73" s="183" t="b">
        <v>0</v>
      </c>
      <c r="D73" s="184"/>
      <c r="E73" s="183" t="b">
        <v>0</v>
      </c>
      <c r="F73" s="185"/>
      <c r="H73" s="182"/>
      <c r="I73" s="183" t="b">
        <v>0</v>
      </c>
      <c r="J73" s="184"/>
      <c r="K73" s="183" t="b">
        <v>0</v>
      </c>
      <c r="L73" s="185"/>
      <c r="N73" s="182"/>
      <c r="O73" s="183" t="b">
        <v>0</v>
      </c>
      <c r="P73" s="184"/>
      <c r="Q73" s="183" t="b">
        <v>0</v>
      </c>
      <c r="R73" s="185"/>
      <c r="T73" s="182"/>
      <c r="U73" s="183" t="b">
        <v>0</v>
      </c>
      <c r="V73" s="184"/>
      <c r="W73" s="183" t="b">
        <v>0</v>
      </c>
      <c r="X73" s="185"/>
    </row>
    <row r="74" spans="2:24" x14ac:dyDescent="0.3">
      <c r="B74" s="182"/>
      <c r="C74" s="183" t="b">
        <v>0</v>
      </c>
      <c r="D74" s="184"/>
      <c r="E74" s="183" t="b">
        <v>0</v>
      </c>
      <c r="F74" s="185"/>
      <c r="H74" s="182"/>
      <c r="I74" s="183" t="b">
        <v>0</v>
      </c>
      <c r="J74" s="184"/>
      <c r="K74" s="183" t="b">
        <v>0</v>
      </c>
      <c r="L74" s="185"/>
      <c r="N74" s="182"/>
      <c r="O74" s="183" t="b">
        <v>0</v>
      </c>
      <c r="P74" s="184"/>
      <c r="Q74" s="183" t="b">
        <v>0</v>
      </c>
      <c r="R74" s="185"/>
      <c r="T74" s="182"/>
      <c r="U74" s="183" t="b">
        <v>0</v>
      </c>
      <c r="V74" s="184"/>
      <c r="W74" s="183" t="b">
        <v>0</v>
      </c>
      <c r="X74" s="185"/>
    </row>
    <row r="75" spans="2:24" x14ac:dyDescent="0.3">
      <c r="B75" s="182"/>
      <c r="C75" s="183" t="b">
        <v>0</v>
      </c>
      <c r="D75" s="184"/>
      <c r="E75" s="183" t="b">
        <v>0</v>
      </c>
      <c r="F75" s="185"/>
      <c r="H75" s="182"/>
      <c r="I75" s="183" t="b">
        <v>0</v>
      </c>
      <c r="J75" s="184"/>
      <c r="K75" s="183" t="b">
        <v>0</v>
      </c>
      <c r="L75" s="185"/>
      <c r="N75" s="182"/>
      <c r="O75" s="183" t="b">
        <v>0</v>
      </c>
      <c r="P75" s="184"/>
      <c r="Q75" s="183" t="b">
        <v>0</v>
      </c>
      <c r="R75" s="185"/>
      <c r="T75" s="182"/>
      <c r="U75" s="183" t="b">
        <v>0</v>
      </c>
      <c r="V75" s="184"/>
      <c r="W75" s="183" t="b">
        <v>0</v>
      </c>
      <c r="X75" s="185"/>
    </row>
    <row r="76" spans="2:24" x14ac:dyDescent="0.3">
      <c r="B76" s="182"/>
      <c r="C76" s="183" t="b">
        <v>0</v>
      </c>
      <c r="D76" s="184"/>
      <c r="E76" s="183" t="b">
        <v>0</v>
      </c>
      <c r="F76" s="185"/>
      <c r="H76" s="182"/>
      <c r="I76" s="183" t="b">
        <v>0</v>
      </c>
      <c r="J76" s="184"/>
      <c r="K76" s="183" t="b">
        <v>0</v>
      </c>
      <c r="L76" s="185"/>
      <c r="N76" s="182"/>
      <c r="O76" s="183" t="b">
        <v>0</v>
      </c>
      <c r="P76" s="184"/>
      <c r="Q76" s="183" t="b">
        <v>0</v>
      </c>
      <c r="R76" s="185"/>
      <c r="T76" s="182"/>
      <c r="U76" s="183" t="b">
        <v>0</v>
      </c>
      <c r="V76" s="184"/>
      <c r="W76" s="183" t="b">
        <v>0</v>
      </c>
      <c r="X76" s="185"/>
    </row>
    <row r="77" spans="2:24" x14ac:dyDescent="0.3">
      <c r="B77" s="182"/>
      <c r="C77" s="183" t="b">
        <v>0</v>
      </c>
      <c r="D77" s="184"/>
      <c r="E77" s="183" t="b">
        <v>0</v>
      </c>
      <c r="F77" s="185"/>
      <c r="H77" s="182"/>
      <c r="I77" s="183" t="b">
        <v>0</v>
      </c>
      <c r="J77" s="184"/>
      <c r="K77" s="183" t="b">
        <v>0</v>
      </c>
      <c r="L77" s="185"/>
      <c r="N77" s="182"/>
      <c r="O77" s="183" t="b">
        <v>0</v>
      </c>
      <c r="P77" s="184"/>
      <c r="Q77" s="183" t="b">
        <v>0</v>
      </c>
      <c r="R77" s="185"/>
      <c r="T77" s="182"/>
      <c r="U77" s="183" t="b">
        <v>0</v>
      </c>
      <c r="V77" s="184"/>
      <c r="W77" s="183" t="b">
        <v>0</v>
      </c>
      <c r="X77" s="185"/>
    </row>
    <row r="78" spans="2:24" x14ac:dyDescent="0.3">
      <c r="B78" s="182"/>
      <c r="C78" s="183" t="b">
        <v>0</v>
      </c>
      <c r="D78" s="184"/>
      <c r="E78" s="183" t="b">
        <v>0</v>
      </c>
      <c r="F78" s="185"/>
      <c r="H78" s="182"/>
      <c r="I78" s="183" t="b">
        <v>0</v>
      </c>
      <c r="J78" s="184"/>
      <c r="K78" s="183" t="b">
        <v>0</v>
      </c>
      <c r="L78" s="185"/>
      <c r="N78" s="182"/>
      <c r="O78" s="183" t="b">
        <v>0</v>
      </c>
      <c r="P78" s="184"/>
      <c r="Q78" s="183" t="b">
        <v>0</v>
      </c>
      <c r="R78" s="185"/>
      <c r="T78" s="182"/>
      <c r="U78" s="183" t="b">
        <v>0</v>
      </c>
      <c r="V78" s="184"/>
      <c r="W78" s="183" t="b">
        <v>0</v>
      </c>
      <c r="X78" s="185"/>
    </row>
    <row r="79" spans="2:24" x14ac:dyDescent="0.3">
      <c r="B79" s="182"/>
      <c r="C79" s="183" t="b">
        <v>0</v>
      </c>
      <c r="D79" s="184"/>
      <c r="E79" s="183" t="b">
        <v>0</v>
      </c>
      <c r="F79" s="185"/>
      <c r="H79" s="182"/>
      <c r="I79" s="183" t="b">
        <v>0</v>
      </c>
      <c r="J79" s="184"/>
      <c r="K79" s="183" t="b">
        <v>0</v>
      </c>
      <c r="L79" s="185"/>
      <c r="N79" s="182"/>
      <c r="O79" s="183" t="b">
        <v>0</v>
      </c>
      <c r="P79" s="184"/>
      <c r="Q79" s="183" t="b">
        <v>0</v>
      </c>
      <c r="R79" s="185"/>
      <c r="T79" s="182"/>
      <c r="U79" s="183" t="b">
        <v>0</v>
      </c>
      <c r="V79" s="184"/>
      <c r="W79" s="183" t="b">
        <v>0</v>
      </c>
      <c r="X79" s="185"/>
    </row>
    <row r="80" spans="2:24" x14ac:dyDescent="0.3">
      <c r="B80" s="182"/>
      <c r="C80" s="183" t="b">
        <v>0</v>
      </c>
      <c r="D80" s="184"/>
      <c r="E80" s="183" t="b">
        <v>0</v>
      </c>
      <c r="F80" s="185"/>
      <c r="H80" s="182"/>
      <c r="I80" s="183" t="b">
        <v>0</v>
      </c>
      <c r="J80" s="184"/>
      <c r="K80" s="183" t="b">
        <v>0</v>
      </c>
      <c r="L80" s="185"/>
      <c r="N80" s="182"/>
      <c r="O80" s="183" t="b">
        <v>0</v>
      </c>
      <c r="P80" s="184"/>
      <c r="Q80" s="183" t="b">
        <v>0</v>
      </c>
      <c r="R80" s="185"/>
      <c r="T80" s="182"/>
      <c r="U80" s="183" t="b">
        <v>0</v>
      </c>
      <c r="V80" s="184"/>
      <c r="W80" s="183" t="b">
        <v>0</v>
      </c>
      <c r="X80" s="185"/>
    </row>
    <row r="81" spans="2:24" x14ac:dyDescent="0.3">
      <c r="B81" s="182"/>
      <c r="C81" s="183" t="b">
        <v>0</v>
      </c>
      <c r="D81" s="184"/>
      <c r="E81" s="183" t="b">
        <v>0</v>
      </c>
      <c r="F81" s="185"/>
      <c r="H81" s="182"/>
      <c r="I81" s="183" t="b">
        <v>0</v>
      </c>
      <c r="J81" s="184"/>
      <c r="K81" s="183" t="b">
        <v>0</v>
      </c>
      <c r="L81" s="185"/>
      <c r="N81" s="182"/>
      <c r="O81" s="183" t="b">
        <v>0</v>
      </c>
      <c r="P81" s="184"/>
      <c r="Q81" s="183" t="b">
        <v>0</v>
      </c>
      <c r="R81" s="185"/>
      <c r="T81" s="182"/>
      <c r="U81" s="183" t="b">
        <v>0</v>
      </c>
      <c r="V81" s="184"/>
      <c r="W81" s="183" t="b">
        <v>0</v>
      </c>
      <c r="X81" s="185"/>
    </row>
    <row r="82" spans="2:24" x14ac:dyDescent="0.3">
      <c r="B82" s="182"/>
      <c r="C82" s="183" t="b">
        <v>0</v>
      </c>
      <c r="D82" s="184"/>
      <c r="E82" s="183" t="b">
        <v>0</v>
      </c>
      <c r="F82" s="185"/>
      <c r="H82" s="182"/>
      <c r="I82" s="183" t="b">
        <v>0</v>
      </c>
      <c r="J82" s="184"/>
      <c r="K82" s="183" t="b">
        <v>0</v>
      </c>
      <c r="L82" s="185"/>
      <c r="N82" s="182"/>
      <c r="O82" s="183" t="b">
        <v>0</v>
      </c>
      <c r="P82" s="184"/>
      <c r="Q82" s="183" t="b">
        <v>0</v>
      </c>
      <c r="R82" s="185"/>
      <c r="T82" s="182"/>
      <c r="U82" s="183" t="b">
        <v>0</v>
      </c>
      <c r="V82" s="184"/>
      <c r="W82" s="183" t="b">
        <v>0</v>
      </c>
      <c r="X82" s="185"/>
    </row>
    <row r="83" spans="2:24" x14ac:dyDescent="0.3">
      <c r="B83" s="182"/>
      <c r="C83" s="183" t="b">
        <v>0</v>
      </c>
      <c r="D83" s="184"/>
      <c r="E83" s="183" t="b">
        <v>0</v>
      </c>
      <c r="F83" s="185"/>
      <c r="H83" s="182"/>
      <c r="I83" s="183" t="b">
        <v>0</v>
      </c>
      <c r="J83" s="184"/>
      <c r="K83" s="183" t="b">
        <v>0</v>
      </c>
      <c r="L83" s="185"/>
      <c r="N83" s="182"/>
      <c r="O83" s="183" t="b">
        <v>0</v>
      </c>
      <c r="P83" s="184"/>
      <c r="Q83" s="183" t="b">
        <v>0</v>
      </c>
      <c r="R83" s="185"/>
      <c r="T83" s="182"/>
      <c r="U83" s="183" t="b">
        <v>0</v>
      </c>
      <c r="V83" s="184"/>
      <c r="W83" s="183" t="b">
        <v>0</v>
      </c>
      <c r="X83" s="185"/>
    </row>
    <row r="84" spans="2:24" ht="15" thickBot="1" x14ac:dyDescent="0.35">
      <c r="B84" s="186"/>
      <c r="C84" s="187" t="b">
        <v>0</v>
      </c>
      <c r="D84" s="188"/>
      <c r="E84" s="187" t="b">
        <v>0</v>
      </c>
      <c r="F84" s="189"/>
      <c r="H84" s="186"/>
      <c r="I84" s="187" t="b">
        <v>0</v>
      </c>
      <c r="J84" s="188"/>
      <c r="K84" s="187" t="b">
        <v>0</v>
      </c>
      <c r="L84" s="189"/>
      <c r="N84" s="186"/>
      <c r="O84" s="187" t="b">
        <v>0</v>
      </c>
      <c r="P84" s="188"/>
      <c r="Q84" s="187" t="b">
        <v>0</v>
      </c>
      <c r="R84" s="189"/>
      <c r="T84" s="186"/>
      <c r="U84" s="187" t="b">
        <v>0</v>
      </c>
      <c r="V84" s="188"/>
      <c r="W84" s="187" t="b">
        <v>0</v>
      </c>
      <c r="X84" s="189"/>
    </row>
    <row r="86" spans="2:24" ht="15" thickBot="1" x14ac:dyDescent="0.35"/>
    <row r="87" spans="2:24" ht="15.6" x14ac:dyDescent="0.3">
      <c r="B87" s="177" t="s">
        <v>129</v>
      </c>
      <c r="C87" s="225" t="s">
        <v>145</v>
      </c>
      <c r="D87" s="225"/>
      <c r="E87" s="225"/>
      <c r="F87" s="178" t="s">
        <v>129</v>
      </c>
      <c r="G87" s="179"/>
      <c r="H87" s="177" t="s">
        <v>129</v>
      </c>
      <c r="I87" s="225" t="s">
        <v>146</v>
      </c>
      <c r="J87" s="225"/>
      <c r="K87" s="225"/>
      <c r="L87" s="178" t="s">
        <v>129</v>
      </c>
      <c r="M87" s="179"/>
      <c r="N87" s="177" t="s">
        <v>129</v>
      </c>
      <c r="O87" s="225" t="s">
        <v>147</v>
      </c>
      <c r="P87" s="225"/>
      <c r="Q87" s="225"/>
      <c r="R87" s="178" t="s">
        <v>129</v>
      </c>
      <c r="S87" s="179"/>
      <c r="T87" s="177" t="s">
        <v>129</v>
      </c>
      <c r="U87" s="225" t="s">
        <v>148</v>
      </c>
      <c r="V87" s="225"/>
      <c r="W87" s="225"/>
      <c r="X87" s="178" t="s">
        <v>129</v>
      </c>
    </row>
    <row r="88" spans="2:24" x14ac:dyDescent="0.3">
      <c r="B88" s="180" t="s">
        <v>134</v>
      </c>
      <c r="C88" s="223" t="s">
        <v>135</v>
      </c>
      <c r="D88" s="223"/>
      <c r="E88" s="223"/>
      <c r="F88" s="181" t="s">
        <v>134</v>
      </c>
      <c r="G88" s="179"/>
      <c r="H88" s="180" t="s">
        <v>134</v>
      </c>
      <c r="I88" s="223" t="s">
        <v>135</v>
      </c>
      <c r="J88" s="223"/>
      <c r="K88" s="223"/>
      <c r="L88" s="181" t="s">
        <v>134</v>
      </c>
      <c r="M88" s="179"/>
      <c r="N88" s="180" t="s">
        <v>134</v>
      </c>
      <c r="O88" s="223" t="s">
        <v>135</v>
      </c>
      <c r="P88" s="223"/>
      <c r="Q88" s="223"/>
      <c r="R88" s="181" t="s">
        <v>134</v>
      </c>
      <c r="S88" s="179"/>
      <c r="T88" s="180" t="s">
        <v>134</v>
      </c>
      <c r="U88" s="223" t="s">
        <v>135</v>
      </c>
      <c r="V88" s="223"/>
      <c r="W88" s="223"/>
      <c r="X88" s="181" t="s">
        <v>134</v>
      </c>
    </row>
    <row r="89" spans="2:24" x14ac:dyDescent="0.3">
      <c r="B89" s="182"/>
      <c r="C89" s="183" t="b">
        <v>0</v>
      </c>
      <c r="D89" s="184"/>
      <c r="E89" s="183" t="b">
        <v>0</v>
      </c>
      <c r="F89" s="185"/>
      <c r="H89" s="182"/>
      <c r="I89" s="183" t="b">
        <v>0</v>
      </c>
      <c r="J89" s="184"/>
      <c r="K89" s="183" t="b">
        <v>0</v>
      </c>
      <c r="L89" s="185"/>
      <c r="N89" s="182"/>
      <c r="O89" s="183" t="b">
        <v>0</v>
      </c>
      <c r="P89" s="184"/>
      <c r="Q89" s="183" t="b">
        <v>0</v>
      </c>
      <c r="R89" s="184"/>
      <c r="S89" s="183" t="b">
        <v>0</v>
      </c>
      <c r="T89" s="182"/>
      <c r="U89" s="183" t="b">
        <v>0</v>
      </c>
      <c r="V89" s="184"/>
      <c r="W89" s="183" t="b">
        <v>0</v>
      </c>
      <c r="X89" s="185"/>
    </row>
    <row r="90" spans="2:24" x14ac:dyDescent="0.3">
      <c r="B90" s="182"/>
      <c r="C90" s="183" t="b">
        <v>0</v>
      </c>
      <c r="D90" s="184"/>
      <c r="E90" s="183" t="b">
        <v>0</v>
      </c>
      <c r="F90" s="185"/>
      <c r="H90" s="182"/>
      <c r="I90" s="183" t="b">
        <v>0</v>
      </c>
      <c r="J90" s="184"/>
      <c r="K90" s="183" t="b">
        <v>0</v>
      </c>
      <c r="L90" s="185"/>
      <c r="N90" s="182"/>
      <c r="O90" s="183" t="b">
        <v>0</v>
      </c>
      <c r="P90" s="184"/>
      <c r="Q90" s="183" t="b">
        <v>0</v>
      </c>
      <c r="R90" s="184"/>
      <c r="S90" s="183" t="b">
        <v>0</v>
      </c>
      <c r="T90" s="182"/>
      <c r="U90" s="183" t="b">
        <v>0</v>
      </c>
      <c r="V90" s="184"/>
      <c r="W90" s="183" t="b">
        <v>0</v>
      </c>
      <c r="X90" s="185"/>
    </row>
    <row r="91" spans="2:24" x14ac:dyDescent="0.3">
      <c r="B91" s="182"/>
      <c r="C91" s="183" t="b">
        <v>0</v>
      </c>
      <c r="D91" s="184"/>
      <c r="E91" s="183" t="b">
        <v>0</v>
      </c>
      <c r="F91" s="185"/>
      <c r="H91" s="182"/>
      <c r="I91" s="183" t="b">
        <v>0</v>
      </c>
      <c r="J91" s="184"/>
      <c r="K91" s="183" t="b">
        <v>0</v>
      </c>
      <c r="L91" s="185"/>
      <c r="N91" s="182"/>
      <c r="O91" s="183" t="b">
        <v>0</v>
      </c>
      <c r="P91" s="184"/>
      <c r="Q91" s="183" t="b">
        <v>0</v>
      </c>
      <c r="R91" s="184"/>
      <c r="S91" s="183" t="b">
        <v>0</v>
      </c>
      <c r="T91" s="182"/>
      <c r="U91" s="183" t="b">
        <v>0</v>
      </c>
      <c r="V91" s="184"/>
      <c r="W91" s="183" t="b">
        <v>0</v>
      </c>
      <c r="X91" s="185"/>
    </row>
    <row r="92" spans="2:24" x14ac:dyDescent="0.3">
      <c r="B92" s="182"/>
      <c r="C92" s="183" t="b">
        <v>0</v>
      </c>
      <c r="D92" s="184"/>
      <c r="E92" s="183" t="b">
        <v>0</v>
      </c>
      <c r="F92" s="185"/>
      <c r="H92" s="182"/>
      <c r="I92" s="183" t="b">
        <v>0</v>
      </c>
      <c r="J92" s="184"/>
      <c r="K92" s="183" t="b">
        <v>0</v>
      </c>
      <c r="L92" s="185"/>
      <c r="N92" s="182"/>
      <c r="O92" s="183" t="b">
        <v>0</v>
      </c>
      <c r="P92" s="184"/>
      <c r="Q92" s="183" t="b">
        <v>0</v>
      </c>
      <c r="R92" s="184"/>
      <c r="S92" s="183" t="b">
        <v>0</v>
      </c>
      <c r="T92" s="182"/>
      <c r="U92" s="183" t="b">
        <v>0</v>
      </c>
      <c r="V92" s="184"/>
      <c r="W92" s="183" t="b">
        <v>0</v>
      </c>
      <c r="X92" s="185"/>
    </row>
    <row r="93" spans="2:24" x14ac:dyDescent="0.3">
      <c r="B93" s="182"/>
      <c r="C93" s="183" t="b">
        <v>0</v>
      </c>
      <c r="D93" s="184"/>
      <c r="E93" s="183" t="b">
        <v>0</v>
      </c>
      <c r="F93" s="185"/>
      <c r="H93" s="182"/>
      <c r="I93" s="183" t="b">
        <v>0</v>
      </c>
      <c r="J93" s="184"/>
      <c r="K93" s="183" t="b">
        <v>0</v>
      </c>
      <c r="L93" s="185"/>
      <c r="N93" s="182"/>
      <c r="O93" s="183" t="b">
        <v>0</v>
      </c>
      <c r="P93" s="184"/>
      <c r="Q93" s="183" t="b">
        <v>0</v>
      </c>
      <c r="R93" s="184"/>
      <c r="S93" s="183" t="b">
        <v>0</v>
      </c>
      <c r="T93" s="182"/>
      <c r="U93" s="183" t="b">
        <v>0</v>
      </c>
      <c r="V93" s="184"/>
      <c r="W93" s="183" t="b">
        <v>0</v>
      </c>
      <c r="X93" s="185"/>
    </row>
    <row r="94" spans="2:24" x14ac:dyDescent="0.3">
      <c r="B94" s="182"/>
      <c r="C94" s="183" t="b">
        <v>0</v>
      </c>
      <c r="D94" s="184"/>
      <c r="E94" s="183" t="b">
        <v>0</v>
      </c>
      <c r="F94" s="185"/>
      <c r="H94" s="182"/>
      <c r="I94" s="183" t="b">
        <v>0</v>
      </c>
      <c r="J94" s="184"/>
      <c r="K94" s="183" t="b">
        <v>0</v>
      </c>
      <c r="L94" s="185"/>
      <c r="N94" s="182"/>
      <c r="O94" s="183" t="b">
        <v>0</v>
      </c>
      <c r="P94" s="184"/>
      <c r="Q94" s="183" t="b">
        <v>0</v>
      </c>
      <c r="R94" s="184"/>
      <c r="S94" s="183" t="b">
        <v>0</v>
      </c>
      <c r="T94" s="182"/>
      <c r="U94" s="183" t="b">
        <v>0</v>
      </c>
      <c r="V94" s="184"/>
      <c r="W94" s="183" t="b">
        <v>0</v>
      </c>
      <c r="X94" s="185"/>
    </row>
    <row r="95" spans="2:24" x14ac:dyDescent="0.3">
      <c r="B95" s="182"/>
      <c r="C95" s="183" t="b">
        <v>0</v>
      </c>
      <c r="D95" s="184"/>
      <c r="E95" s="183" t="b">
        <v>0</v>
      </c>
      <c r="F95" s="185"/>
      <c r="H95" s="182"/>
      <c r="I95" s="183" t="b">
        <v>0</v>
      </c>
      <c r="J95" s="184"/>
      <c r="K95" s="183" t="b">
        <v>0</v>
      </c>
      <c r="L95" s="185"/>
      <c r="N95" s="182"/>
      <c r="O95" s="183" t="b">
        <v>0</v>
      </c>
      <c r="P95" s="184"/>
      <c r="Q95" s="183" t="b">
        <v>0</v>
      </c>
      <c r="R95" s="184"/>
      <c r="S95" s="183" t="b">
        <v>0</v>
      </c>
      <c r="T95" s="182"/>
      <c r="U95" s="183" t="b">
        <v>0</v>
      </c>
      <c r="V95" s="184"/>
      <c r="W95" s="183" t="b">
        <v>0</v>
      </c>
      <c r="X95" s="185"/>
    </row>
    <row r="96" spans="2:24" x14ac:dyDescent="0.3">
      <c r="B96" s="182"/>
      <c r="C96" s="183" t="b">
        <v>0</v>
      </c>
      <c r="D96" s="184"/>
      <c r="E96" s="183" t="b">
        <v>0</v>
      </c>
      <c r="F96" s="185"/>
      <c r="H96" s="182"/>
      <c r="I96" s="183" t="b">
        <v>0</v>
      </c>
      <c r="J96" s="184"/>
      <c r="K96" s="183" t="b">
        <v>0</v>
      </c>
      <c r="L96" s="185"/>
      <c r="N96" s="182"/>
      <c r="O96" s="183" t="b">
        <v>0</v>
      </c>
      <c r="P96" s="184"/>
      <c r="Q96" s="183" t="b">
        <v>0</v>
      </c>
      <c r="R96" s="184"/>
      <c r="S96" s="183" t="b">
        <v>0</v>
      </c>
      <c r="T96" s="182"/>
      <c r="U96" s="183" t="b">
        <v>0</v>
      </c>
      <c r="V96" s="184"/>
      <c r="W96" s="183" t="b">
        <v>0</v>
      </c>
      <c r="X96" s="185"/>
    </row>
    <row r="97" spans="2:24" x14ac:dyDescent="0.3">
      <c r="B97" s="182"/>
      <c r="C97" s="183" t="b">
        <v>0</v>
      </c>
      <c r="D97" s="184"/>
      <c r="E97" s="183" t="b">
        <v>0</v>
      </c>
      <c r="F97" s="185"/>
      <c r="H97" s="182"/>
      <c r="I97" s="183" t="b">
        <v>0</v>
      </c>
      <c r="J97" s="184"/>
      <c r="K97" s="183" t="b">
        <v>0</v>
      </c>
      <c r="L97" s="185"/>
      <c r="N97" s="182"/>
      <c r="O97" s="183" t="b">
        <v>0</v>
      </c>
      <c r="P97" s="184"/>
      <c r="Q97" s="183" t="b">
        <v>0</v>
      </c>
      <c r="R97" s="184"/>
      <c r="S97" s="183" t="b">
        <v>0</v>
      </c>
      <c r="T97" s="182"/>
      <c r="U97" s="183" t="b">
        <v>0</v>
      </c>
      <c r="V97" s="184"/>
      <c r="W97" s="183" t="b">
        <v>0</v>
      </c>
      <c r="X97" s="185"/>
    </row>
    <row r="98" spans="2:24" x14ac:dyDescent="0.3">
      <c r="B98" s="182"/>
      <c r="C98" s="183" t="b">
        <v>0</v>
      </c>
      <c r="D98" s="184"/>
      <c r="E98" s="183" t="b">
        <v>0</v>
      </c>
      <c r="F98" s="185"/>
      <c r="H98" s="182"/>
      <c r="I98" s="183" t="b">
        <v>0</v>
      </c>
      <c r="J98" s="184"/>
      <c r="K98" s="183" t="b">
        <v>0</v>
      </c>
      <c r="L98" s="185"/>
      <c r="N98" s="182"/>
      <c r="O98" s="183" t="b">
        <v>0</v>
      </c>
      <c r="P98" s="184"/>
      <c r="Q98" s="183" t="b">
        <v>0</v>
      </c>
      <c r="R98" s="184"/>
      <c r="S98" s="183" t="b">
        <v>0</v>
      </c>
      <c r="T98" s="182"/>
      <c r="U98" s="183" t="b">
        <v>0</v>
      </c>
      <c r="V98" s="184"/>
      <c r="W98" s="183" t="b">
        <v>0</v>
      </c>
      <c r="X98" s="185"/>
    </row>
    <row r="99" spans="2:24" x14ac:dyDescent="0.3">
      <c r="B99" s="182"/>
      <c r="C99" s="183" t="b">
        <v>0</v>
      </c>
      <c r="D99" s="184"/>
      <c r="E99" s="183" t="b">
        <v>0</v>
      </c>
      <c r="F99" s="185"/>
      <c r="H99" s="182"/>
      <c r="I99" s="183" t="b">
        <v>0</v>
      </c>
      <c r="J99" s="184"/>
      <c r="K99" s="183" t="b">
        <v>0</v>
      </c>
      <c r="L99" s="185"/>
      <c r="N99" s="182"/>
      <c r="O99" s="183" t="b">
        <v>0</v>
      </c>
      <c r="P99" s="184"/>
      <c r="Q99" s="183" t="b">
        <v>0</v>
      </c>
      <c r="R99" s="184"/>
      <c r="S99" s="183" t="b">
        <v>0</v>
      </c>
      <c r="T99" s="182"/>
      <c r="U99" s="183" t="b">
        <v>0</v>
      </c>
      <c r="V99" s="184"/>
      <c r="W99" s="183" t="b">
        <v>0</v>
      </c>
      <c r="X99" s="185"/>
    </row>
    <row r="100" spans="2:24" x14ac:dyDescent="0.3">
      <c r="B100" s="182"/>
      <c r="C100" s="183" t="b">
        <v>0</v>
      </c>
      <c r="D100" s="184"/>
      <c r="E100" s="183" t="b">
        <v>0</v>
      </c>
      <c r="F100" s="185"/>
      <c r="H100" s="182"/>
      <c r="I100" s="183" t="b">
        <v>0</v>
      </c>
      <c r="J100" s="184"/>
      <c r="K100" s="183" t="b">
        <v>0</v>
      </c>
      <c r="L100" s="185"/>
      <c r="N100" s="182"/>
      <c r="O100" s="183" t="b">
        <v>0</v>
      </c>
      <c r="P100" s="184"/>
      <c r="Q100" s="183" t="b">
        <v>0</v>
      </c>
      <c r="R100" s="184"/>
      <c r="S100" s="183" t="b">
        <v>0</v>
      </c>
      <c r="T100" s="182"/>
      <c r="U100" s="183" t="b">
        <v>0</v>
      </c>
      <c r="V100" s="184"/>
      <c r="W100" s="183" t="b">
        <v>0</v>
      </c>
      <c r="X100" s="185"/>
    </row>
    <row r="101" spans="2:24" x14ac:dyDescent="0.3">
      <c r="B101" s="182"/>
      <c r="C101" s="183" t="b">
        <v>0</v>
      </c>
      <c r="D101" s="184"/>
      <c r="E101" s="183" t="b">
        <v>0</v>
      </c>
      <c r="F101" s="185"/>
      <c r="H101" s="182"/>
      <c r="I101" s="183" t="b">
        <v>0</v>
      </c>
      <c r="J101" s="184"/>
      <c r="K101" s="183" t="b">
        <v>0</v>
      </c>
      <c r="L101" s="185"/>
      <c r="N101" s="182"/>
      <c r="O101" s="183" t="b">
        <v>0</v>
      </c>
      <c r="P101" s="184"/>
      <c r="Q101" s="183" t="b">
        <v>0</v>
      </c>
      <c r="R101" s="184"/>
      <c r="S101" s="183" t="b">
        <v>0</v>
      </c>
      <c r="T101" s="182"/>
      <c r="U101" s="183" t="b">
        <v>0</v>
      </c>
      <c r="V101" s="184"/>
      <c r="W101" s="183" t="b">
        <v>0</v>
      </c>
      <c r="X101" s="185"/>
    </row>
    <row r="102" spans="2:24" x14ac:dyDescent="0.3">
      <c r="B102" s="182"/>
      <c r="C102" s="183" t="b">
        <v>0</v>
      </c>
      <c r="D102" s="184"/>
      <c r="E102" s="183" t="b">
        <v>0</v>
      </c>
      <c r="F102" s="185"/>
      <c r="H102" s="182"/>
      <c r="I102" s="183" t="b">
        <v>0</v>
      </c>
      <c r="J102" s="184"/>
      <c r="K102" s="183" t="b">
        <v>0</v>
      </c>
      <c r="L102" s="185"/>
      <c r="N102" s="182"/>
      <c r="O102" s="183" t="b">
        <v>0</v>
      </c>
      <c r="P102" s="184"/>
      <c r="Q102" s="183" t="b">
        <v>0</v>
      </c>
      <c r="R102" s="184"/>
      <c r="S102" s="183" t="b">
        <v>0</v>
      </c>
      <c r="T102" s="182"/>
      <c r="U102" s="183" t="b">
        <v>0</v>
      </c>
      <c r="V102" s="184"/>
      <c r="W102" s="183" t="b">
        <v>0</v>
      </c>
      <c r="X102" s="185"/>
    </row>
    <row r="103" spans="2:24" x14ac:dyDescent="0.3">
      <c r="B103" s="182"/>
      <c r="C103" s="183" t="b">
        <v>0</v>
      </c>
      <c r="D103" s="184"/>
      <c r="E103" s="183" t="b">
        <v>0</v>
      </c>
      <c r="F103" s="185"/>
      <c r="H103" s="182"/>
      <c r="I103" s="183" t="b">
        <v>0</v>
      </c>
      <c r="J103" s="184"/>
      <c r="K103" s="183" t="b">
        <v>0</v>
      </c>
      <c r="L103" s="185"/>
      <c r="N103" s="182"/>
      <c r="O103" s="183" t="b">
        <v>0</v>
      </c>
      <c r="P103" s="184"/>
      <c r="Q103" s="183" t="b">
        <v>0</v>
      </c>
      <c r="R103" s="184"/>
      <c r="S103" s="183" t="b">
        <v>0</v>
      </c>
      <c r="T103" s="182"/>
      <c r="U103" s="183" t="b">
        <v>0</v>
      </c>
      <c r="V103" s="184"/>
      <c r="W103" s="183" t="b">
        <v>0</v>
      </c>
      <c r="X103" s="185"/>
    </row>
    <row r="104" spans="2:24" x14ac:dyDescent="0.3">
      <c r="B104" s="182"/>
      <c r="C104" s="183" t="b">
        <v>0</v>
      </c>
      <c r="D104" s="184"/>
      <c r="E104" s="183" t="b">
        <v>0</v>
      </c>
      <c r="F104" s="185"/>
      <c r="H104" s="182"/>
      <c r="I104" s="183" t="b">
        <v>0</v>
      </c>
      <c r="J104" s="184"/>
      <c r="K104" s="183" t="b">
        <v>0</v>
      </c>
      <c r="L104" s="185"/>
      <c r="N104" s="182"/>
      <c r="O104" s="183" t="b">
        <v>0</v>
      </c>
      <c r="P104" s="184"/>
      <c r="Q104" s="183" t="b">
        <v>0</v>
      </c>
      <c r="R104" s="184"/>
      <c r="S104" s="183" t="b">
        <v>0</v>
      </c>
      <c r="T104" s="182"/>
      <c r="U104" s="183" t="b">
        <v>0</v>
      </c>
      <c r="V104" s="184"/>
      <c r="W104" s="183" t="b">
        <v>0</v>
      </c>
      <c r="X104" s="185"/>
    </row>
    <row r="105" spans="2:24" x14ac:dyDescent="0.3">
      <c r="B105" s="182"/>
      <c r="C105" s="183" t="b">
        <v>0</v>
      </c>
      <c r="D105" s="184"/>
      <c r="E105" s="183" t="b">
        <v>0</v>
      </c>
      <c r="F105" s="185"/>
      <c r="H105" s="182"/>
      <c r="I105" s="183" t="b">
        <v>0</v>
      </c>
      <c r="J105" s="184"/>
      <c r="K105" s="183" t="b">
        <v>0</v>
      </c>
      <c r="L105" s="185"/>
      <c r="N105" s="182"/>
      <c r="O105" s="183" t="b">
        <v>0</v>
      </c>
      <c r="P105" s="184"/>
      <c r="Q105" s="183" t="b">
        <v>0</v>
      </c>
      <c r="R105" s="184"/>
      <c r="S105" s="183" t="b">
        <v>0</v>
      </c>
      <c r="T105" s="182"/>
      <c r="U105" s="183" t="b">
        <v>0</v>
      </c>
      <c r="V105" s="184"/>
      <c r="W105" s="183" t="b">
        <v>0</v>
      </c>
      <c r="X105" s="185"/>
    </row>
    <row r="106" spans="2:24" x14ac:dyDescent="0.3">
      <c r="B106" s="182"/>
      <c r="C106" s="183" t="b">
        <v>0</v>
      </c>
      <c r="D106" s="184"/>
      <c r="E106" s="183" t="b">
        <v>0</v>
      </c>
      <c r="F106" s="185"/>
      <c r="H106" s="182"/>
      <c r="I106" s="183" t="b">
        <v>0</v>
      </c>
      <c r="J106" s="184"/>
      <c r="K106" s="183" t="b">
        <v>0</v>
      </c>
      <c r="L106" s="185"/>
      <c r="N106" s="182"/>
      <c r="O106" s="183" t="b">
        <v>0</v>
      </c>
      <c r="P106" s="184"/>
      <c r="Q106" s="183" t="b">
        <v>0</v>
      </c>
      <c r="R106" s="184"/>
      <c r="S106" s="183" t="b">
        <v>0</v>
      </c>
      <c r="T106" s="182"/>
      <c r="U106" s="183" t="b">
        <v>0</v>
      </c>
      <c r="V106" s="184"/>
      <c r="W106" s="183" t="b">
        <v>0</v>
      </c>
      <c r="X106" s="185"/>
    </row>
    <row r="107" spans="2:24" x14ac:dyDescent="0.3">
      <c r="B107" s="182"/>
      <c r="C107" s="183" t="b">
        <v>0</v>
      </c>
      <c r="D107" s="184"/>
      <c r="E107" s="183" t="b">
        <v>0</v>
      </c>
      <c r="F107" s="185"/>
      <c r="H107" s="182"/>
      <c r="I107" s="183" t="b">
        <v>0</v>
      </c>
      <c r="J107" s="184"/>
      <c r="K107" s="183" t="b">
        <v>0</v>
      </c>
      <c r="L107" s="185"/>
      <c r="N107" s="182"/>
      <c r="O107" s="183" t="b">
        <v>0</v>
      </c>
      <c r="P107" s="184"/>
      <c r="Q107" s="183" t="b">
        <v>0</v>
      </c>
      <c r="R107" s="184"/>
      <c r="S107" s="183" t="b">
        <v>0</v>
      </c>
      <c r="T107" s="182"/>
      <c r="U107" s="183" t="b">
        <v>0</v>
      </c>
      <c r="V107" s="184"/>
      <c r="W107" s="183" t="b">
        <v>0</v>
      </c>
      <c r="X107" s="185"/>
    </row>
    <row r="108" spans="2:24" x14ac:dyDescent="0.3">
      <c r="B108" s="182"/>
      <c r="C108" s="183" t="b">
        <v>0</v>
      </c>
      <c r="D108" s="184"/>
      <c r="E108" s="183" t="b">
        <v>0</v>
      </c>
      <c r="F108" s="185"/>
      <c r="H108" s="182"/>
      <c r="I108" s="183" t="b">
        <v>0</v>
      </c>
      <c r="J108" s="184"/>
      <c r="K108" s="183" t="b">
        <v>0</v>
      </c>
      <c r="L108" s="185"/>
      <c r="N108" s="182"/>
      <c r="O108" s="183" t="b">
        <v>0</v>
      </c>
      <c r="P108" s="184"/>
      <c r="Q108" s="183" t="b">
        <v>0</v>
      </c>
      <c r="R108" s="184"/>
      <c r="S108" s="183" t="b">
        <v>0</v>
      </c>
      <c r="T108" s="182"/>
      <c r="U108" s="183" t="b">
        <v>0</v>
      </c>
      <c r="V108" s="184"/>
      <c r="W108" s="183" t="b">
        <v>0</v>
      </c>
      <c r="X108" s="185"/>
    </row>
    <row r="109" spans="2:24" x14ac:dyDescent="0.3">
      <c r="B109" s="182"/>
      <c r="C109" s="183" t="b">
        <v>0</v>
      </c>
      <c r="D109" s="184"/>
      <c r="E109" s="183" t="b">
        <v>0</v>
      </c>
      <c r="F109" s="185"/>
      <c r="H109" s="182"/>
      <c r="I109" s="183" t="b">
        <v>0</v>
      </c>
      <c r="J109" s="184"/>
      <c r="K109" s="183" t="b">
        <v>0</v>
      </c>
      <c r="L109" s="185"/>
      <c r="N109" s="182"/>
      <c r="O109" s="183" t="b">
        <v>0</v>
      </c>
      <c r="P109" s="184"/>
      <c r="Q109" s="183" t="b">
        <v>0</v>
      </c>
      <c r="R109" s="184"/>
      <c r="S109" s="183" t="b">
        <v>0</v>
      </c>
      <c r="T109" s="182"/>
      <c r="U109" s="183" t="b">
        <v>0</v>
      </c>
      <c r="V109" s="184"/>
      <c r="W109" s="183" t="b">
        <v>0</v>
      </c>
      <c r="X109" s="185"/>
    </row>
    <row r="110" spans="2:24" ht="15" thickBot="1" x14ac:dyDescent="0.35">
      <c r="B110" s="186"/>
      <c r="C110" s="187" t="b">
        <v>0</v>
      </c>
      <c r="D110" s="188"/>
      <c r="E110" s="187" t="b">
        <v>0</v>
      </c>
      <c r="F110" s="189"/>
      <c r="H110" s="186"/>
      <c r="I110" s="187" t="b">
        <v>0</v>
      </c>
      <c r="J110" s="188"/>
      <c r="K110" s="187" t="b">
        <v>0</v>
      </c>
      <c r="L110" s="189"/>
      <c r="N110" s="186"/>
      <c r="O110" s="187" t="b">
        <v>0</v>
      </c>
      <c r="P110" s="188"/>
      <c r="Q110" s="187" t="b">
        <v>0</v>
      </c>
      <c r="R110" s="188"/>
      <c r="S110" s="187" t="b">
        <v>0</v>
      </c>
      <c r="T110" s="186"/>
      <c r="U110" s="187" t="b">
        <v>0</v>
      </c>
      <c r="V110" s="188"/>
      <c r="W110" s="187" t="b">
        <v>0</v>
      </c>
      <c r="X110" s="189"/>
    </row>
  </sheetData>
  <mergeCells count="35">
    <mergeCell ref="U8:W8"/>
    <mergeCell ref="B4:R4"/>
    <mergeCell ref="B5:S5"/>
    <mergeCell ref="C8:E8"/>
    <mergeCell ref="I8:K8"/>
    <mergeCell ref="O8:Q8"/>
    <mergeCell ref="C9:E9"/>
    <mergeCell ref="I9:K9"/>
    <mergeCell ref="O9:Q9"/>
    <mergeCell ref="U9:W9"/>
    <mergeCell ref="C35:E35"/>
    <mergeCell ref="I35:K35"/>
    <mergeCell ref="O35:Q35"/>
    <mergeCell ref="U35:W35"/>
    <mergeCell ref="U36:W36"/>
    <mergeCell ref="C61:E61"/>
    <mergeCell ref="I61:K61"/>
    <mergeCell ref="O61:Q61"/>
    <mergeCell ref="U61:W61"/>
    <mergeCell ref="C88:E88"/>
    <mergeCell ref="I88:K88"/>
    <mergeCell ref="O88:Q88"/>
    <mergeCell ref="U88:W88"/>
    <mergeCell ref="B2:D2"/>
    <mergeCell ref="C62:E62"/>
    <mergeCell ref="I62:K62"/>
    <mergeCell ref="O62:Q62"/>
    <mergeCell ref="U62:W62"/>
    <mergeCell ref="C87:E87"/>
    <mergeCell ref="I87:K87"/>
    <mergeCell ref="O87:Q87"/>
    <mergeCell ref="U87:W87"/>
    <mergeCell ref="C36:E36"/>
    <mergeCell ref="I36:K36"/>
    <mergeCell ref="O36:Q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56634-CC2B-4806-BF8D-1B0DE92B0407}">
  <dimension ref="A1:BB10"/>
  <sheetViews>
    <sheetView workbookViewId="0">
      <pane ySplit="1" topLeftCell="A2" activePane="bottomLeft" state="frozen"/>
      <selection pane="bottomLeft"/>
    </sheetView>
  </sheetViews>
  <sheetFormatPr defaultColWidth="9.109375" defaultRowHeight="14.4" x14ac:dyDescent="0.3"/>
  <cols>
    <col min="1" max="1" width="27" style="175" bestFit="1" customWidth="1"/>
    <col min="2" max="2" width="31.5546875" style="175" bestFit="1" customWidth="1"/>
    <col min="3" max="3" width="26.33203125" style="175" bestFit="1" customWidth="1"/>
    <col min="4" max="4" width="30" style="175" bestFit="1" customWidth="1"/>
    <col min="5" max="5" width="42.33203125" style="175" bestFit="1" customWidth="1"/>
    <col min="6" max="6" width="37.109375" style="175" bestFit="1" customWidth="1"/>
    <col min="7" max="7" width="22.109375" style="175" bestFit="1" customWidth="1"/>
    <col min="8" max="8" width="28.109375" style="175" bestFit="1" customWidth="1"/>
    <col min="9" max="9" width="18.6640625" style="175" bestFit="1" customWidth="1"/>
    <col min="10" max="10" width="33.33203125" style="175" bestFit="1" customWidth="1"/>
    <col min="11" max="11" width="14.109375" style="175" bestFit="1" customWidth="1"/>
    <col min="12" max="12" width="35.5546875" style="175" bestFit="1" customWidth="1"/>
    <col min="13" max="13" width="21.6640625" style="175" bestFit="1" customWidth="1"/>
    <col min="14" max="14" width="35.44140625" style="175" bestFit="1" customWidth="1"/>
    <col min="15" max="15" width="25.6640625" style="175" bestFit="1" customWidth="1"/>
    <col min="16" max="16" width="24.44140625" style="175" bestFit="1" customWidth="1"/>
    <col min="17" max="17" width="32.6640625" style="175" bestFit="1" customWidth="1"/>
    <col min="18" max="18" width="28.6640625" style="175" bestFit="1" customWidth="1"/>
    <col min="19" max="19" width="16.5546875" style="175" bestFit="1" customWidth="1"/>
    <col min="20" max="20" width="24.33203125" style="175" bestFit="1" customWidth="1"/>
    <col min="21" max="21" width="27.88671875" style="175" bestFit="1" customWidth="1"/>
    <col min="22" max="22" width="19.6640625" style="175" bestFit="1" customWidth="1"/>
    <col min="23" max="23" width="33.88671875" style="175" bestFit="1" customWidth="1"/>
    <col min="24" max="24" width="25" style="175" bestFit="1" customWidth="1"/>
    <col min="25" max="26" width="30.109375" style="175" bestFit="1" customWidth="1"/>
    <col min="27" max="27" width="27.5546875" style="175" bestFit="1" customWidth="1"/>
    <col min="28" max="28" width="35.6640625" style="175" bestFit="1" customWidth="1"/>
    <col min="29" max="29" width="24.44140625" style="175" bestFit="1" customWidth="1"/>
    <col min="30" max="31" width="34.109375" style="175" bestFit="1" customWidth="1"/>
    <col min="32" max="32" width="31.44140625" style="175" bestFit="1" customWidth="1"/>
    <col min="33" max="33" width="22.5546875" style="175" bestFit="1" customWidth="1"/>
    <col min="34" max="34" width="30.109375" style="175" bestFit="1" customWidth="1"/>
    <col min="35" max="35" width="30.44140625" style="175" bestFit="1" customWidth="1"/>
    <col min="36" max="36" width="36.6640625" style="175" bestFit="1" customWidth="1"/>
    <col min="37" max="37" width="34.5546875" style="175" bestFit="1" customWidth="1"/>
    <col min="38" max="38" width="35.44140625" style="175" bestFit="1" customWidth="1"/>
    <col min="39" max="39" width="29" style="175" bestFit="1" customWidth="1"/>
    <col min="40" max="40" width="12.5546875" style="175" bestFit="1" customWidth="1"/>
    <col min="41" max="41" width="24.44140625" style="175" bestFit="1" customWidth="1"/>
    <col min="42" max="42" width="30.109375" style="175" bestFit="1" customWidth="1"/>
    <col min="43" max="43" width="20.44140625" style="175" bestFit="1" customWidth="1"/>
    <col min="44" max="44" width="33.5546875" style="175" bestFit="1" customWidth="1"/>
    <col min="45" max="45" width="24.33203125" style="175" bestFit="1" customWidth="1"/>
    <col min="46" max="46" width="21.6640625" style="175" bestFit="1" customWidth="1"/>
    <col min="47" max="47" width="30.44140625" style="175" bestFit="1" customWidth="1"/>
    <col min="48" max="48" width="32.6640625" style="175" bestFit="1" customWidth="1"/>
    <col min="49" max="49" width="22.109375" style="175" bestFit="1" customWidth="1"/>
    <col min="50" max="50" width="27.33203125" style="175" bestFit="1" customWidth="1"/>
    <col min="51" max="51" width="29.109375" style="175" bestFit="1" customWidth="1"/>
    <col min="52" max="52" width="21.6640625" style="175" bestFit="1" customWidth="1"/>
    <col min="53" max="53" width="35.6640625" style="175" bestFit="1" customWidth="1"/>
    <col min="54" max="54" width="38.33203125" style="175" bestFit="1" customWidth="1"/>
    <col min="55" max="16384" width="9.109375" style="175"/>
  </cols>
  <sheetData>
    <row r="1" spans="1:54" x14ac:dyDescent="0.3">
      <c r="A1" s="190" t="s">
        <v>159</v>
      </c>
      <c r="B1" s="190" t="s">
        <v>160</v>
      </c>
      <c r="C1" s="190" t="s">
        <v>161</v>
      </c>
      <c r="D1" s="190" t="s">
        <v>162</v>
      </c>
      <c r="E1" s="190" t="s">
        <v>157</v>
      </c>
      <c r="F1" s="190" t="s">
        <v>163</v>
      </c>
      <c r="G1" s="190" t="s">
        <v>164</v>
      </c>
      <c r="H1" s="190" t="s">
        <v>165</v>
      </c>
      <c r="I1" s="190" t="s">
        <v>166</v>
      </c>
      <c r="J1" s="190" t="s">
        <v>167</v>
      </c>
      <c r="K1" s="190" t="s">
        <v>168</v>
      </c>
      <c r="L1" s="190" t="s">
        <v>169</v>
      </c>
      <c r="M1" s="190" t="s">
        <v>170</v>
      </c>
      <c r="N1" s="190" t="s">
        <v>171</v>
      </c>
      <c r="O1" s="190" t="s">
        <v>172</v>
      </c>
      <c r="P1" s="190" t="s">
        <v>173</v>
      </c>
      <c r="Q1" s="190" t="s">
        <v>174</v>
      </c>
      <c r="R1" s="190" t="s">
        <v>175</v>
      </c>
      <c r="S1" s="190" t="s">
        <v>176</v>
      </c>
      <c r="T1" s="190" t="s">
        <v>177</v>
      </c>
      <c r="U1" s="190" t="s">
        <v>178</v>
      </c>
      <c r="V1" s="190" t="s">
        <v>179</v>
      </c>
      <c r="W1" s="190" t="s">
        <v>180</v>
      </c>
      <c r="X1" s="190" t="s">
        <v>181</v>
      </c>
      <c r="Y1" s="190" t="s">
        <v>182</v>
      </c>
      <c r="Z1" s="190" t="s">
        <v>183</v>
      </c>
      <c r="AA1" s="190" t="s">
        <v>184</v>
      </c>
      <c r="AB1" s="190" t="s">
        <v>185</v>
      </c>
      <c r="AC1" s="190" t="s">
        <v>186</v>
      </c>
      <c r="AD1" s="190" t="s">
        <v>187</v>
      </c>
      <c r="AE1" s="190" t="s">
        <v>188</v>
      </c>
      <c r="AF1" s="190" t="s">
        <v>189</v>
      </c>
      <c r="AG1" s="190" t="s">
        <v>190</v>
      </c>
      <c r="AH1" s="190" t="s">
        <v>191</v>
      </c>
      <c r="AI1" s="190" t="s">
        <v>192</v>
      </c>
      <c r="AJ1" s="190" t="s">
        <v>193</v>
      </c>
      <c r="AK1" s="190" t="s">
        <v>194</v>
      </c>
      <c r="AL1" s="190" t="s">
        <v>195</v>
      </c>
      <c r="AM1" s="190" t="s">
        <v>196</v>
      </c>
      <c r="AN1" s="190" t="s">
        <v>197</v>
      </c>
      <c r="AO1" s="190" t="s">
        <v>198</v>
      </c>
      <c r="AP1" s="190" t="s">
        <v>199</v>
      </c>
      <c r="AQ1" s="190" t="s">
        <v>200</v>
      </c>
      <c r="AR1" s="190" t="s">
        <v>201</v>
      </c>
      <c r="AS1" s="190" t="s">
        <v>202</v>
      </c>
      <c r="AT1" s="190" t="s">
        <v>203</v>
      </c>
      <c r="AU1" s="190" t="s">
        <v>204</v>
      </c>
      <c r="AV1" s="190" t="s">
        <v>205</v>
      </c>
      <c r="AW1" s="190" t="s">
        <v>206</v>
      </c>
      <c r="AX1" s="190" t="s">
        <v>207</v>
      </c>
      <c r="AY1" s="190" t="s">
        <v>208</v>
      </c>
      <c r="AZ1" s="190" t="s">
        <v>209</v>
      </c>
      <c r="BA1" s="190" t="s">
        <v>410</v>
      </c>
      <c r="BB1" s="190" t="s">
        <v>412</v>
      </c>
    </row>
    <row r="2" spans="1:54" x14ac:dyDescent="0.3">
      <c r="A2" s="175" t="s">
        <v>210</v>
      </c>
      <c r="B2" s="175" t="s">
        <v>211</v>
      </c>
      <c r="C2" s="175" t="s">
        <v>212</v>
      </c>
      <c r="D2" s="175" t="s">
        <v>213</v>
      </c>
      <c r="E2" s="175" t="s">
        <v>214</v>
      </c>
      <c r="F2" s="175" t="s">
        <v>215</v>
      </c>
      <c r="G2" s="175" t="s">
        <v>216</v>
      </c>
      <c r="H2" s="175" t="s">
        <v>217</v>
      </c>
      <c r="I2" s="175" t="s">
        <v>218</v>
      </c>
      <c r="J2" s="175" t="s">
        <v>219</v>
      </c>
      <c r="K2" s="175" t="s">
        <v>220</v>
      </c>
      <c r="L2" s="175" t="s">
        <v>221</v>
      </c>
      <c r="M2" s="175" t="s">
        <v>222</v>
      </c>
      <c r="N2" s="175" t="s">
        <v>223</v>
      </c>
      <c r="O2" s="175" t="s">
        <v>224</v>
      </c>
      <c r="P2" s="175" t="s">
        <v>225</v>
      </c>
      <c r="Q2" s="175" t="s">
        <v>226</v>
      </c>
      <c r="R2" s="175" t="s">
        <v>227</v>
      </c>
      <c r="S2" s="175" t="s">
        <v>228</v>
      </c>
      <c r="T2" s="175" t="s">
        <v>229</v>
      </c>
      <c r="U2" s="175" t="s">
        <v>230</v>
      </c>
      <c r="V2" s="175" t="s">
        <v>216</v>
      </c>
      <c r="W2" s="175" t="s">
        <v>231</v>
      </c>
      <c r="X2" s="175" t="s">
        <v>215</v>
      </c>
      <c r="Y2" s="175" t="s">
        <v>232</v>
      </c>
      <c r="Z2" s="175" t="s">
        <v>233</v>
      </c>
      <c r="AA2" s="175" t="s">
        <v>234</v>
      </c>
      <c r="AB2" s="175" t="s">
        <v>235</v>
      </c>
      <c r="AC2" s="175" t="s">
        <v>236</v>
      </c>
      <c r="AD2" s="175" t="s">
        <v>216</v>
      </c>
      <c r="AE2" s="175" t="s">
        <v>237</v>
      </c>
      <c r="AF2" s="175" t="s">
        <v>238</v>
      </c>
      <c r="AG2" s="175" t="s">
        <v>239</v>
      </c>
      <c r="AH2" s="175" t="s">
        <v>240</v>
      </c>
      <c r="AI2" s="175" t="s">
        <v>215</v>
      </c>
      <c r="AJ2" s="175" t="s">
        <v>241</v>
      </c>
      <c r="AK2" s="175" t="s">
        <v>242</v>
      </c>
      <c r="AL2" s="175" t="s">
        <v>243</v>
      </c>
      <c r="AM2" s="175" t="s">
        <v>244</v>
      </c>
      <c r="AN2" s="175" t="s">
        <v>245</v>
      </c>
      <c r="AO2" s="175" t="s">
        <v>246</v>
      </c>
      <c r="AP2" s="175" t="s">
        <v>247</v>
      </c>
      <c r="AQ2" s="175" t="s">
        <v>215</v>
      </c>
      <c r="AR2" s="175" t="s">
        <v>248</v>
      </c>
      <c r="AS2" s="175" t="s">
        <v>249</v>
      </c>
      <c r="AT2" s="175" t="s">
        <v>250</v>
      </c>
      <c r="AU2" s="175" t="s">
        <v>251</v>
      </c>
      <c r="AV2" s="175" t="s">
        <v>252</v>
      </c>
      <c r="AW2" s="175" t="s">
        <v>253</v>
      </c>
      <c r="AX2" s="175" t="s">
        <v>254</v>
      </c>
      <c r="AY2" s="175" t="s">
        <v>255</v>
      </c>
      <c r="AZ2" s="175" t="s">
        <v>250</v>
      </c>
      <c r="BA2" s="175" t="s">
        <v>411</v>
      </c>
      <c r="BB2" s="175" t="s">
        <v>413</v>
      </c>
    </row>
    <row r="3" spans="1:54" x14ac:dyDescent="0.3">
      <c r="A3" s="175" t="s">
        <v>256</v>
      </c>
      <c r="B3" s="175" t="s">
        <v>257</v>
      </c>
      <c r="C3" s="175" t="s">
        <v>258</v>
      </c>
      <c r="D3" s="175" t="s">
        <v>259</v>
      </c>
      <c r="E3" s="175" t="s">
        <v>260</v>
      </c>
      <c r="F3" s="175" t="s">
        <v>261</v>
      </c>
      <c r="G3" s="175" t="s">
        <v>262</v>
      </c>
      <c r="H3" s="175" t="s">
        <v>263</v>
      </c>
      <c r="I3" s="175" t="s">
        <v>264</v>
      </c>
      <c r="J3" s="175" t="s">
        <v>265</v>
      </c>
      <c r="K3" s="175" t="s">
        <v>266</v>
      </c>
      <c r="L3" s="175" t="s">
        <v>267</v>
      </c>
      <c r="M3" s="175" t="s">
        <v>268</v>
      </c>
      <c r="N3" s="175" t="s">
        <v>269</v>
      </c>
      <c r="O3" s="175" t="s">
        <v>270</v>
      </c>
      <c r="P3" s="175" t="s">
        <v>271</v>
      </c>
      <c r="Q3" s="175" t="s">
        <v>272</v>
      </c>
      <c r="R3" s="175" t="s">
        <v>273</v>
      </c>
      <c r="S3" s="175" t="s">
        <v>274</v>
      </c>
      <c r="T3" s="175" t="s">
        <v>275</v>
      </c>
      <c r="U3" s="175" t="s">
        <v>218</v>
      </c>
      <c r="V3" s="175" t="s">
        <v>276</v>
      </c>
      <c r="W3" s="175" t="s">
        <v>277</v>
      </c>
      <c r="X3" s="175" t="s">
        <v>278</v>
      </c>
      <c r="Y3" s="175" t="s">
        <v>279</v>
      </c>
      <c r="Z3" s="175" t="s">
        <v>226</v>
      </c>
      <c r="AA3" s="175" t="s">
        <v>280</v>
      </c>
      <c r="AB3" s="175" t="s">
        <v>281</v>
      </c>
      <c r="AC3" s="175" t="s">
        <v>282</v>
      </c>
      <c r="AD3" s="175" t="s">
        <v>283</v>
      </c>
      <c r="AE3" s="175" t="s">
        <v>284</v>
      </c>
      <c r="AF3" s="175" t="s">
        <v>285</v>
      </c>
      <c r="AG3" s="175" t="s">
        <v>276</v>
      </c>
      <c r="AH3" s="175" t="s">
        <v>286</v>
      </c>
      <c r="AI3" s="175" t="s">
        <v>280</v>
      </c>
      <c r="AJ3" s="175" t="s">
        <v>287</v>
      </c>
      <c r="AK3" s="175" t="s">
        <v>288</v>
      </c>
      <c r="AL3" s="175" t="s">
        <v>289</v>
      </c>
      <c r="AM3" s="175" t="s">
        <v>290</v>
      </c>
      <c r="AN3" s="175" t="s">
        <v>291</v>
      </c>
      <c r="AO3" s="175" t="s">
        <v>292</v>
      </c>
      <c r="AP3" s="175" t="s">
        <v>240</v>
      </c>
      <c r="AQ3" s="175" t="s">
        <v>293</v>
      </c>
      <c r="AR3" s="175" t="s">
        <v>294</v>
      </c>
      <c r="AS3" s="175" t="s">
        <v>295</v>
      </c>
      <c r="AT3" s="175" t="s">
        <v>296</v>
      </c>
      <c r="AU3" s="175" t="s">
        <v>297</v>
      </c>
      <c r="AV3" s="175" t="s">
        <v>254</v>
      </c>
      <c r="AW3" s="175" t="s">
        <v>298</v>
      </c>
      <c r="AX3" s="175" t="s">
        <v>299</v>
      </c>
      <c r="AY3" s="175" t="s">
        <v>271</v>
      </c>
      <c r="AZ3" s="175" t="s">
        <v>293</v>
      </c>
      <c r="BA3" s="175" t="s">
        <v>264</v>
      </c>
      <c r="BB3" s="175" t="s">
        <v>414</v>
      </c>
    </row>
    <row r="4" spans="1:54" x14ac:dyDescent="0.3">
      <c r="A4" s="175" t="s">
        <v>300</v>
      </c>
      <c r="B4" s="175" t="s">
        <v>301</v>
      </c>
      <c r="C4" s="175" t="s">
        <v>302</v>
      </c>
      <c r="D4" s="175" t="s">
        <v>242</v>
      </c>
      <c r="E4" s="175" t="s">
        <v>303</v>
      </c>
      <c r="F4" s="175" t="s">
        <v>293</v>
      </c>
      <c r="G4" s="175" t="s">
        <v>304</v>
      </c>
      <c r="H4" s="175" t="s">
        <v>305</v>
      </c>
      <c r="J4" s="175" t="s">
        <v>306</v>
      </c>
      <c r="K4" s="175" t="s">
        <v>307</v>
      </c>
      <c r="L4" s="175" t="s">
        <v>308</v>
      </c>
      <c r="M4" s="175" t="s">
        <v>250</v>
      </c>
      <c r="N4" s="175" t="s">
        <v>309</v>
      </c>
      <c r="O4" s="175" t="s">
        <v>310</v>
      </c>
      <c r="P4" s="175" t="s">
        <v>311</v>
      </c>
      <c r="Q4" s="175" t="s">
        <v>312</v>
      </c>
      <c r="R4" s="175" t="s">
        <v>313</v>
      </c>
      <c r="S4" s="175" t="s">
        <v>259</v>
      </c>
      <c r="T4" s="175" t="s">
        <v>314</v>
      </c>
      <c r="U4" s="175" t="s">
        <v>315</v>
      </c>
      <c r="V4" s="175" t="s">
        <v>316</v>
      </c>
      <c r="W4" s="175" t="s">
        <v>317</v>
      </c>
      <c r="X4" s="175" t="s">
        <v>318</v>
      </c>
      <c r="Y4" s="175" t="s">
        <v>319</v>
      </c>
      <c r="Z4" s="175" t="s">
        <v>320</v>
      </c>
      <c r="AA4" s="175" t="s">
        <v>321</v>
      </c>
      <c r="AB4" s="175" t="s">
        <v>322</v>
      </c>
      <c r="AC4" s="175" t="s">
        <v>323</v>
      </c>
      <c r="AD4" s="175" t="s">
        <v>316</v>
      </c>
      <c r="AE4" s="175" t="s">
        <v>324</v>
      </c>
      <c r="AF4" s="175" t="s">
        <v>325</v>
      </c>
      <c r="AG4" s="175" t="s">
        <v>326</v>
      </c>
      <c r="AH4" s="175" t="s">
        <v>327</v>
      </c>
      <c r="AI4" s="175" t="s">
        <v>318</v>
      </c>
      <c r="AJ4" s="175" t="s">
        <v>328</v>
      </c>
      <c r="AK4" s="175" t="s">
        <v>329</v>
      </c>
      <c r="AL4" s="175" t="s">
        <v>330</v>
      </c>
      <c r="AM4" s="175" t="s">
        <v>331</v>
      </c>
      <c r="AN4" s="175" t="s">
        <v>264</v>
      </c>
      <c r="AO4" s="175" t="s">
        <v>332</v>
      </c>
      <c r="AP4" s="175" t="s">
        <v>286</v>
      </c>
      <c r="AQ4" s="175" t="s">
        <v>234</v>
      </c>
      <c r="AR4" s="175" t="s">
        <v>333</v>
      </c>
      <c r="AS4" s="175" t="s">
        <v>334</v>
      </c>
      <c r="AT4" s="175" t="s">
        <v>335</v>
      </c>
      <c r="AU4" s="175" t="s">
        <v>336</v>
      </c>
      <c r="AV4" s="175" t="s">
        <v>337</v>
      </c>
      <c r="AW4" s="175" t="s">
        <v>338</v>
      </c>
      <c r="AX4" s="175" t="s">
        <v>339</v>
      </c>
      <c r="AY4" s="175" t="s">
        <v>340</v>
      </c>
      <c r="AZ4" s="175" t="s">
        <v>341</v>
      </c>
      <c r="BB4" s="175" t="s">
        <v>264</v>
      </c>
    </row>
    <row r="5" spans="1:54" x14ac:dyDescent="0.3">
      <c r="A5" s="175" t="s">
        <v>342</v>
      </c>
      <c r="B5" s="175" t="s">
        <v>343</v>
      </c>
      <c r="C5" s="175" t="s">
        <v>344</v>
      </c>
      <c r="D5" s="175" t="s">
        <v>345</v>
      </c>
      <c r="E5" s="175" t="s">
        <v>346</v>
      </c>
      <c r="F5" s="175" t="s">
        <v>347</v>
      </c>
      <c r="G5" s="175" t="s">
        <v>348</v>
      </c>
      <c r="H5" s="175" t="s">
        <v>264</v>
      </c>
      <c r="J5" s="175" t="s">
        <v>349</v>
      </c>
      <c r="K5" s="175" t="s">
        <v>350</v>
      </c>
      <c r="L5" s="175" t="s">
        <v>351</v>
      </c>
      <c r="M5" s="175" t="s">
        <v>352</v>
      </c>
      <c r="N5" s="175" t="s">
        <v>225</v>
      </c>
      <c r="O5" s="175" t="s">
        <v>353</v>
      </c>
      <c r="P5" s="175" t="s">
        <v>354</v>
      </c>
      <c r="Q5" s="175" t="s">
        <v>355</v>
      </c>
      <c r="R5" s="175" t="s">
        <v>356</v>
      </c>
      <c r="S5" s="175" t="s">
        <v>357</v>
      </c>
      <c r="T5" s="175" t="s">
        <v>264</v>
      </c>
      <c r="U5" s="175" t="s">
        <v>217</v>
      </c>
      <c r="V5" s="175" t="s">
        <v>358</v>
      </c>
      <c r="W5" s="175" t="s">
        <v>359</v>
      </c>
      <c r="X5" s="175" t="s">
        <v>360</v>
      </c>
      <c r="Y5" s="175" t="s">
        <v>361</v>
      </c>
      <c r="Z5" s="175" t="s">
        <v>362</v>
      </c>
      <c r="AA5" s="175" t="s">
        <v>363</v>
      </c>
      <c r="AB5" s="175" t="s">
        <v>264</v>
      </c>
      <c r="AC5" s="175" t="s">
        <v>264</v>
      </c>
      <c r="AD5" s="175" t="s">
        <v>364</v>
      </c>
      <c r="AE5" s="175" t="s">
        <v>365</v>
      </c>
      <c r="AF5" s="175" t="s">
        <v>366</v>
      </c>
      <c r="AG5" s="175" t="s">
        <v>367</v>
      </c>
      <c r="AH5" s="175" t="s">
        <v>368</v>
      </c>
      <c r="AI5" s="175" t="s">
        <v>369</v>
      </c>
      <c r="AJ5" s="175" t="s">
        <v>370</v>
      </c>
      <c r="AK5" s="175" t="s">
        <v>371</v>
      </c>
      <c r="AL5" s="175" t="s">
        <v>222</v>
      </c>
      <c r="AM5" s="175" t="s">
        <v>372</v>
      </c>
      <c r="AO5" s="175" t="s">
        <v>264</v>
      </c>
      <c r="AP5" s="175" t="s">
        <v>373</v>
      </c>
      <c r="AQ5" s="175" t="s">
        <v>318</v>
      </c>
      <c r="AR5" s="175" t="s">
        <v>374</v>
      </c>
      <c r="AS5" s="175" t="s">
        <v>375</v>
      </c>
      <c r="AT5" s="175" t="s">
        <v>376</v>
      </c>
      <c r="AU5" s="175" t="s">
        <v>377</v>
      </c>
      <c r="AV5" s="175" t="s">
        <v>378</v>
      </c>
      <c r="AW5" s="175" t="s">
        <v>379</v>
      </c>
      <c r="AX5" s="175" t="s">
        <v>380</v>
      </c>
      <c r="AY5" s="175" t="s">
        <v>215</v>
      </c>
      <c r="AZ5" s="175" t="s">
        <v>381</v>
      </c>
    </row>
    <row r="6" spans="1:54" x14ac:dyDescent="0.3">
      <c r="A6" s="175" t="s">
        <v>382</v>
      </c>
      <c r="B6" s="175" t="s">
        <v>383</v>
      </c>
      <c r="C6" s="175" t="s">
        <v>384</v>
      </c>
      <c r="D6" s="175" t="s">
        <v>385</v>
      </c>
      <c r="E6" s="175" t="s">
        <v>386</v>
      </c>
      <c r="F6" s="175" t="s">
        <v>387</v>
      </c>
      <c r="G6" s="175" t="s">
        <v>264</v>
      </c>
      <c r="J6" s="175" t="s">
        <v>388</v>
      </c>
      <c r="K6" s="175" t="s">
        <v>389</v>
      </c>
      <c r="L6" s="175" t="s">
        <v>264</v>
      </c>
      <c r="M6" s="175" t="s">
        <v>264</v>
      </c>
      <c r="N6" s="175" t="s">
        <v>264</v>
      </c>
      <c r="O6" s="175" t="s">
        <v>390</v>
      </c>
      <c r="P6" s="175" t="s">
        <v>264</v>
      </c>
      <c r="Q6" s="175" t="s">
        <v>264</v>
      </c>
      <c r="R6" s="175" t="s">
        <v>391</v>
      </c>
      <c r="S6" s="175" t="s">
        <v>264</v>
      </c>
      <c r="U6" s="175" t="s">
        <v>392</v>
      </c>
      <c r="V6" s="175" t="s">
        <v>264</v>
      </c>
      <c r="W6" s="175" t="s">
        <v>353</v>
      </c>
      <c r="X6" s="175" t="s">
        <v>393</v>
      </c>
      <c r="Y6" s="175" t="s">
        <v>264</v>
      </c>
      <c r="Z6" s="175" t="s">
        <v>264</v>
      </c>
      <c r="AA6" s="175" t="s">
        <v>264</v>
      </c>
      <c r="AD6" s="175" t="s">
        <v>264</v>
      </c>
      <c r="AE6" s="175" t="s">
        <v>264</v>
      </c>
      <c r="AF6" s="175" t="s">
        <v>264</v>
      </c>
      <c r="AG6" s="175" t="s">
        <v>394</v>
      </c>
      <c r="AH6" s="175" t="s">
        <v>395</v>
      </c>
      <c r="AI6" s="175" t="s">
        <v>264</v>
      </c>
      <c r="AJ6" s="175" t="s">
        <v>396</v>
      </c>
      <c r="AK6" s="175" t="s">
        <v>264</v>
      </c>
      <c r="AL6" s="175" t="s">
        <v>264</v>
      </c>
      <c r="AM6" s="175" t="s">
        <v>397</v>
      </c>
      <c r="AP6" s="175" t="s">
        <v>398</v>
      </c>
      <c r="AQ6" s="175" t="s">
        <v>264</v>
      </c>
      <c r="AR6" s="175" t="s">
        <v>399</v>
      </c>
      <c r="AS6" s="175" t="s">
        <v>400</v>
      </c>
      <c r="AT6" s="175" t="s">
        <v>264</v>
      </c>
      <c r="AU6" s="175" t="s">
        <v>264</v>
      </c>
      <c r="AV6" s="175" t="s">
        <v>401</v>
      </c>
      <c r="AW6" s="175" t="s">
        <v>268</v>
      </c>
      <c r="AX6" s="175" t="s">
        <v>264</v>
      </c>
      <c r="AY6" s="175" t="s">
        <v>402</v>
      </c>
      <c r="AZ6" s="175" t="s">
        <v>264</v>
      </c>
    </row>
    <row r="7" spans="1:54" x14ac:dyDescent="0.3">
      <c r="A7" s="175" t="s">
        <v>264</v>
      </c>
      <c r="B7" s="175" t="s">
        <v>264</v>
      </c>
      <c r="C7" s="175" t="s">
        <v>264</v>
      </c>
      <c r="D7" s="175" t="s">
        <v>264</v>
      </c>
      <c r="E7" s="175" t="s">
        <v>403</v>
      </c>
      <c r="F7" s="175" t="s">
        <v>264</v>
      </c>
      <c r="J7" s="175" t="s">
        <v>264</v>
      </c>
      <c r="K7" s="175" t="s">
        <v>264</v>
      </c>
      <c r="O7" s="175" t="s">
        <v>264</v>
      </c>
      <c r="R7" s="175" t="s">
        <v>264</v>
      </c>
      <c r="U7" s="175" t="s">
        <v>264</v>
      </c>
      <c r="W7" s="175" t="s">
        <v>264</v>
      </c>
      <c r="X7" s="175" t="s">
        <v>264</v>
      </c>
      <c r="AG7" s="175" t="s">
        <v>404</v>
      </c>
      <c r="AH7" s="175" t="s">
        <v>264</v>
      </c>
      <c r="AJ7" s="175" t="s">
        <v>405</v>
      </c>
      <c r="AM7" s="175" t="s">
        <v>406</v>
      </c>
      <c r="AP7" s="175" t="s">
        <v>264</v>
      </c>
      <c r="AR7" s="175" t="s">
        <v>264</v>
      </c>
      <c r="AS7" s="175" t="s">
        <v>407</v>
      </c>
      <c r="AV7" s="175" t="s">
        <v>264</v>
      </c>
      <c r="AW7" s="175" t="s">
        <v>408</v>
      </c>
      <c r="AY7" s="175" t="s">
        <v>264</v>
      </c>
    </row>
    <row r="8" spans="1:54" x14ac:dyDescent="0.3">
      <c r="E8" s="175" t="s">
        <v>264</v>
      </c>
      <c r="AG8" s="175" t="s">
        <v>409</v>
      </c>
      <c r="AJ8" s="175" t="s">
        <v>264</v>
      </c>
      <c r="AM8" s="175" t="s">
        <v>264</v>
      </c>
      <c r="AS8" s="175" t="s">
        <v>285</v>
      </c>
      <c r="AW8" s="175" t="s">
        <v>264</v>
      </c>
    </row>
    <row r="9" spans="1:54" x14ac:dyDescent="0.3">
      <c r="AG9" s="175" t="s">
        <v>264</v>
      </c>
      <c r="AS9" s="175" t="s">
        <v>325</v>
      </c>
    </row>
    <row r="10" spans="1:54" x14ac:dyDescent="0.3">
      <c r="AS10" s="175" t="s">
        <v>264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Input Form</vt:lpstr>
      <vt:lpstr>Panel Detail</vt:lpstr>
      <vt:lpstr>Utility Lists</vt:lpstr>
      <vt:lpstr>MEG_AnnualkWh</vt:lpstr>
      <vt:lpstr>MEG_BlendedRate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Geist</dc:creator>
  <cp:lastModifiedBy>Justin Finney</cp:lastModifiedBy>
  <dcterms:created xsi:type="dcterms:W3CDTF">2026-08-14T20:02:46Z</dcterms:created>
  <dcterms:modified xsi:type="dcterms:W3CDTF">2026-09-09T15:38:44Z</dcterms:modified>
</cp:coreProperties>
</file>